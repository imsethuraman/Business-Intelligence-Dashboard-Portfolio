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ethu\Downloads\09-04-2026\Excel Dashboard Course\Excel\"/>
    </mc:Choice>
  </mc:AlternateContent>
  <xr:revisionPtr revIDLastSave="0" documentId="13_ncr:1_{AF794BD9-F144-456F-AF4E-D8AEDD4ED139}" xr6:coauthVersionLast="36" xr6:coauthVersionMax="47" xr10:uidLastSave="{00000000-0000-0000-0000-000000000000}"/>
  <bookViews>
    <workbookView xWindow="0" yWindow="0" windowWidth="23040" windowHeight="8400" activeTab="3" xr2:uid="{346724B3-1C49-40AE-AA36-C77CF5D6DD09}"/>
  </bookViews>
  <sheets>
    <sheet name="Data" sheetId="1" r:id="rId1"/>
    <sheet name="Questions &amp; KPIs" sheetId="2" r:id="rId2"/>
    <sheet name="Analysis" sheetId="7" r:id="rId3"/>
    <sheet name="Dashboard" sheetId="3" r:id="rId4"/>
  </sheets>
  <definedNames>
    <definedName name="_xlchart.v5.0" hidden="1">Analysis!$A$1:$AP$61</definedName>
    <definedName name="_xlchart.v5.1" hidden="1">Analysis!$AQ$3</definedName>
    <definedName name="_xlchart.v5.2" hidden="1">Analysis!$AQ$4:$AQ$61</definedName>
    <definedName name="_xlchart.v5.3" hidden="1">Analysis!$A$1:$AL$61</definedName>
    <definedName name="_xlchart.v5.4" hidden="1">Analysis!$AM$3</definedName>
    <definedName name="_xlchart.v5.5" hidden="1">Analysis!$AM$4:$AM$61</definedName>
    <definedName name="_xlcn.WorksheetConnection_ecommerceblank.xlsxOrders1" hidden="1">Orders[]</definedName>
    <definedName name="Slicer_Gender_Value">#N/A</definedName>
    <definedName name="Slicer_Order_Mode">#N/A</definedName>
  </definedNames>
  <calcPr calcId="191029"/>
  <pivotCaches>
    <pivotCache cacheId="0" r:id="rId5"/>
    <pivotCache cacheId="1" r:id="rId6"/>
    <pivotCache cacheId="2" r:id="rId7"/>
    <pivotCache cacheId="34" r:id="rId8"/>
    <pivotCache cacheId="37" r:id="rId9"/>
    <pivotCache cacheId="40" r:id="rId10"/>
    <pivotCache cacheId="43" r:id="rId11"/>
    <pivotCache cacheId="46" r:id="rId12"/>
    <pivotCache cacheId="49" r:id="rId13"/>
    <pivotCache cacheId="52"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merce-blank.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AO5" i="7" l="1"/>
  <c r="AP5" i="7"/>
  <c r="AO6" i="7"/>
  <c r="AP6" i="7"/>
  <c r="AO7" i="7"/>
  <c r="AP7" i="7"/>
  <c r="AO8" i="7"/>
  <c r="AP8" i="7"/>
  <c r="AO9" i="7"/>
  <c r="AP9" i="7"/>
  <c r="AO10" i="7"/>
  <c r="AP10" i="7"/>
  <c r="AO11" i="7"/>
  <c r="AP11" i="7"/>
  <c r="AO12" i="7"/>
  <c r="AP12" i="7"/>
  <c r="AO13" i="7"/>
  <c r="AP13" i="7"/>
  <c r="AO14" i="7"/>
  <c r="AP14" i="7"/>
  <c r="AO15" i="7"/>
  <c r="AP15" i="7"/>
  <c r="AO16" i="7"/>
  <c r="AP16" i="7"/>
  <c r="AO17" i="7"/>
  <c r="AP17" i="7"/>
  <c r="AO18" i="7"/>
  <c r="AP18" i="7"/>
  <c r="AO19" i="7"/>
  <c r="AP19" i="7"/>
  <c r="AO20" i="7"/>
  <c r="AP20" i="7"/>
  <c r="AO21" i="7"/>
  <c r="AP21" i="7"/>
  <c r="AO22" i="7"/>
  <c r="AP22" i="7"/>
  <c r="AO23" i="7"/>
  <c r="AP23" i="7"/>
  <c r="AO24" i="7"/>
  <c r="AP24" i="7"/>
  <c r="AO25" i="7"/>
  <c r="AP25" i="7"/>
  <c r="AO26" i="7"/>
  <c r="AP26" i="7"/>
  <c r="AO27" i="7"/>
  <c r="AP27" i="7"/>
  <c r="AO28" i="7"/>
  <c r="AP28" i="7"/>
  <c r="AO29" i="7"/>
  <c r="AP29" i="7"/>
  <c r="AO30" i="7"/>
  <c r="AP30" i="7"/>
  <c r="AO31" i="7"/>
  <c r="AP31" i="7"/>
  <c r="AO32" i="7"/>
  <c r="AP32" i="7"/>
  <c r="AO33" i="7"/>
  <c r="AP33" i="7"/>
  <c r="AO34" i="7"/>
  <c r="AP34" i="7"/>
  <c r="AO35" i="7"/>
  <c r="AP35" i="7"/>
  <c r="AO36" i="7"/>
  <c r="AP36" i="7"/>
  <c r="AO37" i="7"/>
  <c r="AP37" i="7"/>
  <c r="AO38" i="7"/>
  <c r="AP38" i="7"/>
  <c r="AO39" i="7"/>
  <c r="AP39" i="7"/>
  <c r="AO40" i="7"/>
  <c r="AP40" i="7"/>
  <c r="AO41" i="7"/>
  <c r="AP41" i="7"/>
  <c r="AO42" i="7"/>
  <c r="AP42" i="7"/>
  <c r="AO43" i="7"/>
  <c r="AP43" i="7"/>
  <c r="AO44" i="7"/>
  <c r="AP44" i="7"/>
  <c r="AO45" i="7"/>
  <c r="AP45" i="7"/>
  <c r="AO46" i="7"/>
  <c r="AP46" i="7"/>
  <c r="AO47" i="7"/>
  <c r="AP47" i="7"/>
  <c r="AO48" i="7"/>
  <c r="AP48" i="7"/>
  <c r="AO49" i="7"/>
  <c r="AP49" i="7"/>
  <c r="AO50" i="7"/>
  <c r="AP50" i="7"/>
  <c r="AO51" i="7"/>
  <c r="AP51" i="7"/>
  <c r="AO52" i="7"/>
  <c r="AP52" i="7"/>
  <c r="AO53" i="7"/>
  <c r="AP53" i="7"/>
  <c r="AO54" i="7"/>
  <c r="AP54" i="7"/>
  <c r="AO55" i="7"/>
  <c r="AP55" i="7"/>
  <c r="AO56" i="7"/>
  <c r="AP56" i="7"/>
  <c r="AO57" i="7"/>
  <c r="AP57" i="7"/>
  <c r="AO58" i="7"/>
  <c r="AP58" i="7"/>
  <c r="AO59" i="7"/>
  <c r="AP59" i="7"/>
  <c r="AO60" i="7"/>
  <c r="AP60" i="7"/>
  <c r="AO61" i="7"/>
  <c r="AP61" i="7"/>
  <c r="AO62" i="7"/>
  <c r="AP62" i="7"/>
  <c r="AQ5" i="7"/>
  <c r="AQ6" i="7"/>
  <c r="AQ7" i="7"/>
  <c r="AQ8" i="7"/>
  <c r="AQ9" i="7"/>
  <c r="AQ10" i="7"/>
  <c r="AQ11" i="7"/>
  <c r="AQ12" i="7"/>
  <c r="AQ13" i="7"/>
  <c r="AQ14" i="7"/>
  <c r="AQ15" i="7"/>
  <c r="AQ16" i="7"/>
  <c r="AQ17" i="7"/>
  <c r="AQ18" i="7"/>
  <c r="AQ19" i="7"/>
  <c r="AQ20" i="7"/>
  <c r="AQ21" i="7"/>
  <c r="AQ22" i="7"/>
  <c r="AQ23" i="7"/>
  <c r="AQ24" i="7"/>
  <c r="AQ25" i="7"/>
  <c r="AQ26" i="7"/>
  <c r="AQ27" i="7"/>
  <c r="AQ28" i="7"/>
  <c r="AQ29" i="7"/>
  <c r="AQ30" i="7"/>
  <c r="AQ31" i="7"/>
  <c r="AQ32" i="7"/>
  <c r="AQ33" i="7"/>
  <c r="AQ34" i="7"/>
  <c r="AQ35" i="7"/>
  <c r="AQ36" i="7"/>
  <c r="AQ37" i="7"/>
  <c r="AQ38" i="7"/>
  <c r="AQ39" i="7"/>
  <c r="AQ40" i="7"/>
  <c r="AQ41" i="7"/>
  <c r="AQ42" i="7"/>
  <c r="AQ43" i="7"/>
  <c r="AQ44" i="7"/>
  <c r="AQ45" i="7"/>
  <c r="AQ46" i="7"/>
  <c r="AQ47" i="7"/>
  <c r="AQ48" i="7"/>
  <c r="AQ49" i="7"/>
  <c r="AQ50" i="7"/>
  <c r="AQ51" i="7"/>
  <c r="AQ52" i="7"/>
  <c r="AQ53" i="7"/>
  <c r="AQ54" i="7"/>
  <c r="AQ55" i="7"/>
  <c r="AQ56" i="7"/>
  <c r="AQ57" i="7"/>
  <c r="AQ58" i="7"/>
  <c r="AQ59" i="7"/>
  <c r="AQ60" i="7"/>
  <c r="AQ61" i="7"/>
  <c r="AQ62" i="7"/>
  <c r="AQ4" i="7"/>
  <c r="AP4" i="7"/>
  <c r="AO4" i="7"/>
  <c r="AK5" i="7"/>
  <c r="AL5" i="7"/>
  <c r="AM5" i="7"/>
  <c r="AK6" i="7"/>
  <c r="AL6" i="7"/>
  <c r="AM6" i="7"/>
  <c r="AK7" i="7"/>
  <c r="AL7" i="7"/>
  <c r="AM7" i="7"/>
  <c r="AK8" i="7"/>
  <c r="AL8" i="7"/>
  <c r="AM8" i="7"/>
  <c r="AK9" i="7"/>
  <c r="AL9" i="7"/>
  <c r="AM9" i="7"/>
  <c r="AK10" i="7"/>
  <c r="AL10" i="7"/>
  <c r="AM10" i="7"/>
  <c r="AK11" i="7"/>
  <c r="AL11" i="7"/>
  <c r="AM11" i="7"/>
  <c r="AK12" i="7"/>
  <c r="AL12" i="7"/>
  <c r="AM12" i="7"/>
  <c r="AK13" i="7"/>
  <c r="AL13" i="7"/>
  <c r="AM13" i="7"/>
  <c r="AK14" i="7"/>
  <c r="AL14" i="7"/>
  <c r="AM14" i="7"/>
  <c r="AK15" i="7"/>
  <c r="AL15" i="7"/>
  <c r="AM15" i="7"/>
  <c r="AK16" i="7"/>
  <c r="AL16" i="7"/>
  <c r="AM16" i="7"/>
  <c r="AK17" i="7"/>
  <c r="AL17" i="7"/>
  <c r="AM17" i="7"/>
  <c r="AK18" i="7"/>
  <c r="AL18" i="7"/>
  <c r="AM18" i="7"/>
  <c r="AK19" i="7"/>
  <c r="AL19" i="7"/>
  <c r="AM19" i="7"/>
  <c r="AK20" i="7"/>
  <c r="AL20" i="7"/>
  <c r="AM20" i="7"/>
  <c r="AK21" i="7"/>
  <c r="AL21" i="7"/>
  <c r="AM21" i="7"/>
  <c r="AK22" i="7"/>
  <c r="AL22" i="7"/>
  <c r="AM22" i="7"/>
  <c r="AK23" i="7"/>
  <c r="AL23" i="7"/>
  <c r="AM23" i="7"/>
  <c r="AK24" i="7"/>
  <c r="AL24" i="7"/>
  <c r="AM24" i="7"/>
  <c r="AK25" i="7"/>
  <c r="AL25" i="7"/>
  <c r="AM25" i="7"/>
  <c r="AK26" i="7"/>
  <c r="AL26" i="7"/>
  <c r="AM26" i="7"/>
  <c r="AK27" i="7"/>
  <c r="AL27" i="7"/>
  <c r="AM27" i="7"/>
  <c r="AK28" i="7"/>
  <c r="AL28" i="7"/>
  <c r="AM28" i="7"/>
  <c r="AK29" i="7"/>
  <c r="AL29" i="7"/>
  <c r="AM29" i="7"/>
  <c r="AK30" i="7"/>
  <c r="AL30" i="7"/>
  <c r="AM30" i="7"/>
  <c r="AK31" i="7"/>
  <c r="AL31" i="7"/>
  <c r="AM31" i="7"/>
  <c r="AK32" i="7"/>
  <c r="AL32" i="7"/>
  <c r="AM32" i="7"/>
  <c r="AK33" i="7"/>
  <c r="AL33" i="7"/>
  <c r="AM33" i="7"/>
  <c r="AK34" i="7"/>
  <c r="AL34" i="7"/>
  <c r="AM34" i="7"/>
  <c r="AK35" i="7"/>
  <c r="AL35" i="7"/>
  <c r="AM35" i="7"/>
  <c r="AK36" i="7"/>
  <c r="AL36" i="7"/>
  <c r="AM36" i="7"/>
  <c r="AK37" i="7"/>
  <c r="AL37" i="7"/>
  <c r="AM37" i="7"/>
  <c r="AK38" i="7"/>
  <c r="AL38" i="7"/>
  <c r="AM38" i="7"/>
  <c r="AK39" i="7"/>
  <c r="AL39" i="7"/>
  <c r="AM39" i="7"/>
  <c r="AK40" i="7"/>
  <c r="AL40" i="7"/>
  <c r="AM40" i="7"/>
  <c r="AK41" i="7"/>
  <c r="AL41" i="7"/>
  <c r="AM41" i="7"/>
  <c r="AK42" i="7"/>
  <c r="AL42" i="7"/>
  <c r="AM42" i="7"/>
  <c r="AK43" i="7"/>
  <c r="AL43" i="7"/>
  <c r="AM43" i="7"/>
  <c r="AK44" i="7"/>
  <c r="AL44" i="7"/>
  <c r="AM44" i="7"/>
  <c r="AK45" i="7"/>
  <c r="AL45" i="7"/>
  <c r="AM45" i="7"/>
  <c r="AK46" i="7"/>
  <c r="AL46" i="7"/>
  <c r="AM46" i="7"/>
  <c r="AK47" i="7"/>
  <c r="AL47" i="7"/>
  <c r="AM47" i="7"/>
  <c r="AK48" i="7"/>
  <c r="AL48" i="7"/>
  <c r="AM48" i="7"/>
  <c r="AK49" i="7"/>
  <c r="AL49" i="7"/>
  <c r="AM49" i="7"/>
  <c r="AK50" i="7"/>
  <c r="AL50" i="7"/>
  <c r="AM50" i="7"/>
  <c r="AK51" i="7"/>
  <c r="AL51" i="7"/>
  <c r="AM51" i="7"/>
  <c r="AK52" i="7"/>
  <c r="AL52" i="7"/>
  <c r="AM52" i="7"/>
  <c r="AK53" i="7"/>
  <c r="AL53" i="7"/>
  <c r="AM53" i="7"/>
  <c r="AK54" i="7"/>
  <c r="AL54" i="7"/>
  <c r="AM54" i="7"/>
  <c r="AK55" i="7"/>
  <c r="AL55" i="7"/>
  <c r="AM55" i="7"/>
  <c r="AK56" i="7"/>
  <c r="AL56" i="7"/>
  <c r="AM56" i="7"/>
  <c r="AK57" i="7"/>
  <c r="AL57" i="7"/>
  <c r="AM57" i="7"/>
  <c r="AK58" i="7"/>
  <c r="AL58" i="7"/>
  <c r="AM58" i="7"/>
  <c r="AK59" i="7"/>
  <c r="AL59" i="7"/>
  <c r="AM59" i="7"/>
  <c r="AK60" i="7"/>
  <c r="AL60" i="7"/>
  <c r="AM60" i="7"/>
  <c r="AK61" i="7"/>
  <c r="AL61" i="7"/>
  <c r="AM61" i="7"/>
  <c r="AK62" i="7"/>
  <c r="AL62" i="7"/>
  <c r="AM62" i="7"/>
  <c r="AL4" i="7"/>
  <c r="AM4" i="7"/>
  <c r="AK4" i="7"/>
  <c r="AQ3" i="7"/>
  <c r="AP3" i="7"/>
  <c r="AO3" i="7"/>
  <c r="AL3" i="7"/>
  <c r="AM3" i="7"/>
  <c r="AK3" i="7"/>
  <c r="N10" i="7"/>
  <c r="O10" i="7"/>
  <c r="N11" i="7"/>
  <c r="O11" i="7"/>
  <c r="N12" i="7"/>
  <c r="O12" i="7"/>
  <c r="N13" i="7"/>
  <c r="O13" i="7"/>
  <c r="N14" i="7"/>
  <c r="O14" i="7"/>
  <c r="O9" i="7"/>
  <c r="K10" i="7"/>
  <c r="L10" i="7"/>
  <c r="M10" i="7"/>
  <c r="K11" i="7"/>
  <c r="L11" i="7"/>
  <c r="M11" i="7"/>
  <c r="K12" i="7"/>
  <c r="L12" i="7"/>
  <c r="M12" i="7"/>
  <c r="K13" i="7"/>
  <c r="L13" i="7"/>
  <c r="M13" i="7"/>
  <c r="K14" i="7"/>
  <c r="L14" i="7"/>
  <c r="M14" i="7"/>
  <c r="L9" i="7"/>
  <c r="M9" i="7"/>
  <c r="N9" i="7"/>
  <c r="K9" i="7"/>
  <c r="K4" i="7"/>
  <c r="J4" i="7"/>
  <c r="I4" i="7"/>
  <c r="H4" i="7"/>
  <c r="G4" i="7"/>
  <c r="H3" i="7"/>
  <c r="I3" i="7"/>
  <c r="J3" i="7"/>
  <c r="K3" i="7"/>
  <c r="G3" i="7"/>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07EC79-E1B0-4F66-89C6-0BAE230B778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F46624-52C8-4356-A105-971B6C6F709B}" name="WorksheetConnection_ecommerce-blank.xlsx!Orders" type="102" refreshedVersion="6" minRefreshableVersion="5">
    <extLst>
      <ext xmlns:x15="http://schemas.microsoft.com/office/spreadsheetml/2010/11/main" uri="{DE250136-89BD-433C-8126-D09CA5730AF9}">
        <x15:connection id="Orders" autoDelete="1">
          <x15:rangePr sourceName="_xlcn.WorksheetConnection_ecommerceblank.xlsxOrd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<sst xmlns="http://schemas.openxmlformats.org/spreadsheetml/2006/main" count="14622" uniqueCount="2535">
  <si>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</si>
  <si>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</si>
  <si>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</si>
  <si>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</si>
  <si>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</si>
  <si>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</si>
  <si>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</si>
  <si>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</si>
  <si>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</si>
  <si>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</si>
  <si>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</si>
  <si>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</si>
  <si>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</si>
  <si>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</si>
  <si>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</si>
  <si>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</si>
  <si>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</si>
  <si>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</si>
  <si>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</si>
  <si>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</si>
  <si>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</si>
  <si>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</si>
  <si>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</si>
  <si>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</si>
  <si>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</si>
  <si>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</si>
  <si>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</si>
  <si>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</si>
  <si>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</si>
  <si>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</si>
  <si>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</si>
  <si>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</si>
  <si>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</si>
  <si>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</si>
  <si>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</si>
  <si>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</si>
  <si>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</si>
  <si>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</si>
  <si>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</si>
  <si>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</si>
  <si>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</si>
  <si>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</si>
  <si>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</si>
  <si>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</si>
  <si>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</si>
  <si>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</si>
  <si>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</si>
  <si>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</si>
  <si>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</si>
  <si>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</si>
  <si>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</si>
  <si>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</si>
  <si>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</si>
  <si>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</si>
  <si>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</si>
  <si>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</si>
  <si>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</si>
  <si>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</si>
  <si>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</si>
  <si>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</si>
  <si>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</si>
  <si>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</si>
  <si>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</si>
  <si>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</si>
  <si>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</si>
  <si>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</si>
  <si>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</si>
  <si>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</si>
  <si>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</si>
  <si>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</si>
  <si>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</si>
  <si>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</si>
  <si>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</si>
  <si>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</si>
  <si>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</si>
  <si>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</si>
  <si>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</si>
  <si>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</si>
  <si>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</si>
  <si>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</si>
  <si>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</si>
  <si>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</si>
  <si>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</si>
  <si>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</si>
  <si>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</si>
  <si>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</si>
  <si>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</si>
  <si>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</si>
  <si>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</si>
  <si>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</si>
  <si>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</si>
  <si>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</si>
  <si>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</si>
  <si>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</si>
  <si>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</si>
  <si>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</si>
  <si>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</si>
  <si>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</si>
  <si>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</si>
  <si>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</si>
  <si>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</si>
  <si>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</si>
  <si>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</si>
  <si>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</si>
  <si>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</si>
  <si>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</si>
  <si>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</si>
  <si>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</si>
  <si>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</si>
  <si>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</si>
  <si>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</si>
  <si>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</si>
  <si>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</si>
  <si>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</si>
  <si>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</si>
  <si>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</si>
  <si>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</si>
  <si>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</si>
  <si>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</si>
  <si>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</si>
  <si>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</si>
  <si>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</si>
  <si>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</si>
  <si>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</si>
  <si>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</si>
  <si>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</si>
  <si>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</si>
  <si>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</si>
  <si>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</si>
  <si>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</si>
  <si>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</si>
  <si>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</si>
  <si>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</si>
  <si>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</si>
  <si>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</si>
  <si>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</si>
  <si>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</si>
  <si>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</si>
  <si>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</si>
  <si>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</si>
  <si>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</si>
  <si>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</si>
  <si>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</si>
  <si>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</si>
  <si>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</si>
  <si>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</si>
  <si>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</si>
  <si>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</si>
  <si>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</si>
  <si>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</si>
  <si>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</si>
  <si>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</si>
  <si>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</si>
  <si>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</si>
  <si>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</si>
  <si>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</si>
  <si>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</si>
  <si>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</si>
  <si>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</si>
  <si>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</si>
  <si>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</si>
  <si>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</si>
  <si>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</si>
  <si>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</si>
  <si>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</si>
  <si>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</si>
  <si>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</si>
  <si>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</si>
  <si>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</si>
  <si>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</si>
  <si>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</si>
  <si>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</si>
  <si>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</si>
  <si>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</si>
  <si>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</si>
  <si>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</si>
  <si>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</si>
  <si>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</si>
  <si>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</si>
  <si>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</si>
  <si>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</si>
  <si>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</si>
  <si>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</si>
  <si>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</si>
  <si>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</si>
  <si>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</si>
  <si>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</si>
  <si>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</si>
  <si>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</si>
  <si>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</si>
  <si>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</si>
  <si>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</si>
  <si>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</si>
  <si>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</si>
  <si>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</si>
  <si>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</si>
  <si>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</si>
  <si>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</si>
  <si>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</si>
  <si>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</si>
  <si>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</si>
  <si>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</si>
  <si>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</si>
  <si>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</si>
  <si>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</si>
  <si>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</si>
  <si>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</si>
  <si>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</si>
  <si>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</si>
  <si>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</si>
  <si>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</si>
  <si>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</si>
  <si>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</si>
  <si>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</si>
  <si>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</si>
  <si>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</si>
  <si>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</si>
  <si>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</si>
  <si>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</si>
  <si>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</si>
  <si>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</si>
  <si>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</si>
  <si>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</si>
  <si>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</si>
  <si>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</si>
  <si>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</si>
  <si>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</si>
  <si>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</si>
  <si>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</si>
  <si>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</si>
  <si>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</si>
  <si>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</si>
  <si>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</si>
  <si>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</si>
  <si>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</si>
  <si>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</si>
  <si>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</si>
  <si>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</si>
  <si>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</si>
  <si>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</si>
  <si>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</si>
  <si>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</si>
  <si>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</si>
  <si>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</si>
  <si>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</si>
  <si>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</si>
  <si>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</si>
  <si>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</si>
  <si>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</si>
  <si>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</si>
  <si>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</si>
  <si>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</si>
  <si>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</si>
  <si>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</si>
  <si>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</si>
  <si>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</si>
  <si>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</si>
  <si>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</si>
  <si>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</si>
  <si>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</si>
  <si>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</si>
  <si>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</si>
  <si>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</si>
  <si>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</si>
  <si>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</si>
  <si>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</si>
  <si>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</si>
  <si>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</si>
  <si>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</si>
  <si>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</si>
  <si>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</si>
  <si>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</si>
  <si>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</si>
  <si>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</si>
  <si>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</si>
  <si>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</si>
  <si>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</si>
  <si>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</si>
  <si>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</si>
  <si>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</si>
  <si>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</si>
  <si>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</si>
  <si>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</si>
  <si>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</si>
  <si>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</si>
  <si>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</si>
  <si>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</si>
  <si>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</si>
  <si>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</si>
  <si>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</si>
  <si>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</si>
  <si>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</si>
  <si>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</si>
  <si>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</si>
  <si>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</si>
  <si>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</si>
  <si>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</si>
  <si>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</si>
  <si>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</si>
  <si>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</si>
  <si>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</si>
  <si>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</si>
  <si>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</si>
  <si>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</si>
  <si>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</si>
  <si>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</si>
  <si>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</si>
  <si>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</si>
  <si>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</si>
  <si>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</si>
  <si>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</si>
  <si>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</si>
  <si>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</si>
  <si>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</si>
  <si>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</si>
  <si>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</si>
  <si>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</si>
  <si>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</si>
  <si>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</si>
  <si>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</si>
  <si>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</si>
  <si>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</si>
  <si>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</si>
  <si>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</si>
  <si>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</si>
  <si>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</si>
  <si>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</si>
  <si>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</si>
  <si>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</si>
  <si>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</si>
  <si>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</si>
  <si>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</si>
  <si>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</si>
  <si>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</si>
  <si>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</si>
  <si>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</si>
  <si>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</si>
  <si>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</si>
  <si>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</si>
  <si>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</si>
  <si>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</si>
  <si>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</si>
  <si>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</si>
  <si>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</si>
  <si>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</si>
  <si>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</si>
  <si>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</si>
  <si>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</si>
  <si>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</si>
  <si>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</si>
  <si>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</si>
  <si>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</si>
  <si>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</si>
  <si>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</si>
  <si>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</si>
  <si>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</si>
  <si>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</si>
  <si>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</si>
  <si>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</si>
  <si>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</si>
  <si>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</si>
  <si>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</si>
  <si>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</si>
  <si>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</si>
  <si>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</si>
  <si>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</si>
  <si>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</si>
  <si>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</si>
  <si>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</si>
  <si>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</si>
  <si>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</si>
  <si>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</si>
  <si>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</si>
  <si>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</si>
  <si>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</si>
  <si>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</si>
  <si>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</si>
  <si>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</si>
  <si>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</si>
  <si>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</si>
  <si>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</si>
  <si>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</si>
  <si>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</si>
  <si>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</si>
  <si>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</si>
  <si>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</si>
  <si>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</si>
  <si>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</si>
  <si>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</si>
  <si>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</si>
  <si>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</si>
  <si>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</si>
  <si>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</si>
  <si>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</si>
  <si>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</si>
  <si>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</si>
  <si>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</si>
  <si>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</si>
  <si>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</si>
  <si>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</si>
  <si>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</si>
  <si>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</si>
  <si>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</si>
  <si>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</si>
  <si>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</si>
  <si>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</si>
  <si>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</si>
  <si>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</si>
  <si>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</si>
  <si>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</si>
  <si>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</si>
  <si>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</si>
  <si>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</si>
  <si>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</si>
  <si>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</si>
  <si>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</si>
  <si>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</si>
  <si>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</si>
  <si>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</si>
  <si>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</si>
  <si>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</si>
  <si>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</si>
  <si>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</si>
  <si>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</si>
  <si>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</si>
  <si>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</si>
  <si>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</si>
  <si>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</si>
  <si>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</si>
  <si>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</si>
  <si>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</si>
  <si>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</si>
  <si>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</si>
  <si>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</si>
  <si>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</si>
  <si>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</si>
  <si>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</si>
  <si>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</si>
  <si>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</si>
  <si>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</si>
  <si>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</si>
  <si>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</si>
  <si>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</si>
  <si>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</si>
  <si>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</si>
  <si>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</si>
  <si>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</si>
  <si>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</si>
  <si>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</si>
  <si>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</si>
  <si>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</si>
  <si>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</si>
  <si>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</si>
  <si>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</si>
  <si>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</si>
  <si>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</si>
  <si>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</si>
  <si>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</si>
  <si>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</si>
  <si>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</si>
  <si>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</si>
  <si>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</si>
  <si>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</si>
  <si>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</si>
  <si>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</si>
  <si>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</si>
  <si>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</si>
  <si>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</si>
  <si>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</si>
  <si>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</si>
  <si>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</si>
  <si>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</si>
  <si>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</si>
  <si>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</si>
  <si>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</si>
  <si>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</si>
  <si>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</si>
  <si>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</si>
  <si>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</si>
  <si>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</si>
  <si>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</si>
  <si>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</si>
  <si>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</si>
  <si>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</si>
  <si>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</si>
  <si>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</si>
  <si>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</si>
  <si>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</si>
  <si>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</si>
  <si>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</si>
  <si>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</si>
  <si>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</si>
  <si>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</si>
  <si>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</si>
  <si>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</si>
  <si>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</si>
  <si>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</si>
  <si>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</si>
  <si>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</si>
  <si>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</si>
  <si>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</si>
  <si>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</si>
  <si>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</si>
  <si>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</si>
  <si>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</si>
  <si>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</si>
  <si>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</si>
  <si>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</si>
  <si>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</si>
  <si>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</si>
  <si>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</si>
  <si>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</si>
  <si>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</si>
  <si>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</si>
  <si>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</si>
  <si>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</si>
  <si>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</si>
  <si>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</si>
  <si>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</si>
  <si>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</si>
  <si>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</si>
  <si>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</si>
  <si>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</si>
  <si>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</si>
  <si>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</si>
  <si>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</si>
  <si>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</si>
  <si>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</si>
  <si>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</si>
  <si>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</si>
  <si>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</si>
  <si>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</si>
  <si>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</si>
  <si>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</si>
  <si>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</si>
  <si>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</si>
  <si>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</si>
  <si>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</si>
  <si>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</si>
  <si>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</si>
  <si>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</si>
  <si>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</si>
  <si>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</si>
  <si>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</si>
  <si>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</si>
  <si>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</si>
  <si>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</si>
  <si>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</si>
  <si>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</si>
  <si>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</si>
  <si>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</si>
  <si>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</si>
  <si>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</si>
  <si>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</si>
  <si>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</si>
  <si>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</si>
  <si>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</si>
  <si>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</si>
  <si>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</si>
  <si>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</si>
  <si>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</si>
  <si>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</si>
  <si>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</si>
  <si>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</si>
  <si>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</si>
  <si>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</si>
  <si>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</si>
  <si>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</si>
  <si>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</si>
  <si>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</si>
  <si>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</si>
  <si>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</si>
  <si>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</si>
  <si>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</si>
  <si>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</si>
  <si>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</si>
  <si>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</si>
  <si>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</si>
  <si>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</si>
  <si>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</si>
  <si>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</si>
  <si>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</si>
  <si>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</si>
  <si>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</si>
  <si>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</si>
  <si>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</si>
  <si>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</si>
  <si>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</si>
  <si>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</si>
  <si>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</si>
  <si>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</si>
  <si>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</si>
  <si>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</si>
  <si>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</si>
  <si>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</si>
  <si>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</si>
  <si>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</si>
  <si>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</si>
  <si>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</si>
  <si>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</si>
  <si>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</si>
  <si>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</si>
  <si>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</si>
  <si>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</si>
  <si>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</si>
  <si>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</si>
  <si>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</si>
  <si>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</si>
  <si>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</si>
  <si>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</si>
  <si>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</si>
  <si>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</si>
  <si>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</si>
  <si>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</si>
  <si>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</si>
  <si>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</si>
  <si>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</si>
  <si>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</si>
  <si>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</si>
  <si>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</si>
  <si>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</si>
  <si>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</si>
  <si>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</si>
  <si>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</si>
  <si>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</si>
  <si>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</si>
  <si>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</si>
  <si>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</si>
  <si>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</si>
  <si>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</si>
  <si>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</si>
  <si>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</si>
  <si>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</si>
  <si>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</si>
  <si>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</si>
  <si>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</si>
  <si>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</si>
  <si>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</si>
  <si>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</si>
  <si>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</si>
  <si>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</si>
  <si>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</si>
  <si>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</si>
  <si>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</si>
  <si>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</si>
  <si>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</si>
  <si>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</si>
  <si>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</si>
  <si>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</si>
  <si>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</si>
  <si>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</si>
  <si>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</si>
  <si>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</si>
  <si>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</si>
  <si>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</si>
  <si>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</si>
  <si>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</si>
  <si>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</si>
  <si>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</si>
  <si>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</si>
  <si>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</si>
  <si>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</si>
  <si>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</si>
  <si>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</si>
  <si>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</si>
  <si>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</si>
  <si>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</si>
  <si>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</si>
  <si>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</si>
  <si>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</si>
  <si>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</si>
  <si>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</si>
  <si>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</si>
  <si>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</si>
  <si>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</si>
  <si>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</si>
  <si>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</si>
  <si>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</si>
  <si>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</si>
  <si>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</si>
  <si>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</si>
  <si>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</si>
  <si>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</si>
  <si>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</si>
  <si>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</si>
  <si>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</si>
  <si>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</si>
  <si>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</si>
  <si>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</si>
  <si>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</si>
  <si>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</si>
  <si>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</si>
  <si>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</si>
  <si>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</si>
  <si>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</si>
  <si>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</si>
  <si>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</si>
  <si>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</si>
  <si>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</si>
  <si>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</si>
  <si>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</si>
  <si>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</si>
  <si>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</si>
  <si>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</si>
  <si>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</si>
  <si>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</si>
  <si>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</si>
  <si>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</si>
  <si>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</si>
  <si>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</si>
  <si>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</si>
  <si>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</si>
  <si>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</si>
  <si>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</si>
  <si>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</si>
  <si>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</si>
  <si>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</si>
  <si>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</si>
  <si>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</si>
  <si>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</si>
  <si>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</si>
  <si>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</si>
  <si>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</si>
  <si>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</si>
  <si>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</si>
  <si>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</si>
  <si>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</si>
  <si>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</si>
  <si>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</si>
  <si>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</si>
  <si>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</si>
  <si>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</si>
  <si>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</si>
  <si>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</si>
  <si>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</si>
  <si>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</si>
  <si>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</si>
  <si>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</si>
  <si>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</si>
  <si>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</si>
  <si>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</si>
  <si>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</si>
  <si>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</si>
  <si>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</si>
  <si>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</si>
  <si>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</si>
  <si>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</si>
  <si>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</si>
  <si>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</si>
  <si>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</si>
  <si>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</si>
  <si>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</si>
  <si>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</si>
  <si>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</si>
  <si>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</si>
  <si>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</si>
  <si>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</si>
  <si>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</si>
  <si>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</si>
  <si>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</si>
  <si>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</si>
  <si>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</si>
  <si>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</si>
  <si>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</si>
  <si>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</si>
  <si>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</si>
  <si>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</si>
  <si>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</si>
  <si>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</si>
  <si>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</si>
  <si>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</si>
  <si>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</si>
  <si>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</si>
  <si>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</si>
  <si>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</si>
  <si>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</si>
  <si>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</si>
  <si>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</si>
  <si>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</si>
  <si>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</si>
  <si>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</si>
  <si>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</si>
  <si>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</si>
  <si>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</si>
  <si>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</si>
  <si>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</si>
  <si>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</si>
  <si>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</si>
  <si>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</si>
  <si>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</si>
  <si>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</si>
  <si>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</si>
  <si>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</si>
  <si>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</si>
  <si>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</si>
  <si>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</si>
  <si>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</si>
  <si>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</si>
  <si>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</si>
  <si>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</si>
  <si>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</si>
  <si>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</si>
  <si>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</si>
  <si>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</si>
  <si>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</si>
  <si>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</si>
  <si>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</si>
  <si>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</si>
  <si>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</si>
  <si>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</si>
  <si>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</si>
  <si>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</si>
  <si>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</si>
  <si>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</si>
  <si>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</si>
  <si>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</si>
  <si>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</si>
  <si>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</si>
  <si>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</si>
  <si>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</si>
  <si>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</si>
  <si>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</si>
  <si>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</si>
  <si>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</si>
  <si>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</si>
  <si>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</si>
  <si>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</si>
  <si>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</si>
  <si>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</si>
  <si>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</si>
  <si>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</si>
  <si>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</si>
  <si>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</si>
  <si>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</si>
  <si>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</si>
  <si>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</si>
  <si>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</si>
  <si>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</si>
  <si>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</si>
  <si>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</si>
  <si>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</si>
  <si>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</si>
  <si>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</si>
  <si>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</si>
  <si>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</si>
  <si>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</si>
  <si>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</si>
  <si>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</si>
  <si>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</si>
  <si>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</si>
  <si>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</si>
  <si>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</si>
  <si>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</si>
  <si>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</si>
  <si>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</si>
  <si>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</si>
  <si>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</si>
  <si>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</si>
  <si>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</si>
  <si>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</si>
  <si>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</si>
  <si>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</si>
  <si>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</si>
  <si>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</si>
  <si>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</si>
  <si>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</si>
  <si>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</si>
  <si>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</si>
  <si>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</si>
  <si>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</si>
  <si>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</si>
  <si>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</si>
  <si>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</si>
  <si>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</si>
  <si>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</si>
  <si>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</si>
  <si>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</si>
  <si>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</si>
  <si>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</si>
  <si>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</si>
  <si>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</si>
  <si>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</si>
  <si>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</si>
  <si>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</si>
  <si>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</si>
  <si>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</si>
  <si>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</si>
  <si>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</si>
  <si>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</si>
  <si>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</si>
  <si>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</si>
  <si>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</si>
  <si>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</si>
  <si>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</si>
  <si>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</si>
  <si>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</si>
  <si>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</si>
  <si>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</si>
  <si>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</si>
  <si>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</si>
  <si>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</si>
  <si>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</si>
  <si>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</si>
  <si>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</si>
  <si>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</si>
  <si>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</si>
  <si>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</si>
  <si>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</si>
  <si>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</si>
  <si>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</si>
  <si>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</si>
  <si>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</si>
  <si>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</si>
  <si>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</si>
  <si>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</si>
  <si>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</si>
  <si>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</si>
  <si>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</si>
  <si>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</si>
  <si>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</si>
  <si>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</si>
  <si>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</si>
  <si>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</si>
  <si>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</si>
  <si>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</si>
  <si>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</si>
  <si>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</si>
  <si>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</si>
  <si>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</si>
  <si>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</si>
  <si>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</si>
  <si>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</si>
  <si>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</si>
  <si>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</si>
  <si>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</si>
  <si>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</si>
  <si>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</si>
  <si>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</si>
  <si>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</si>
  <si>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</si>
  <si>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</si>
  <si>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</si>
  <si>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</si>
  <si>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</si>
  <si>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</si>
  <si>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</si>
  <si>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</si>
  <si>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</si>
  <si>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</si>
  <si>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</si>
  <si>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</si>
  <si>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</si>
  <si>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</si>
  <si>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</si>
  <si>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</si>
  <si>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</si>
  <si>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</si>
  <si>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</si>
  <si>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</si>
  <si>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</si>
  <si>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</si>
  <si>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</si>
  <si>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</si>
  <si>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</si>
  <si>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</si>
  <si>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</si>
  <si>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</si>
  <si>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</si>
  <si>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</si>
  <si>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</si>
  <si>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</si>
  <si>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</si>
  <si>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</si>
  <si>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</si>
  <si>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</si>
  <si>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</si>
  <si>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</si>
  <si>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</si>
  <si>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</si>
  <si>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</si>
  <si>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</si>
  <si>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</si>
  <si>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</si>
  <si>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</si>
  <si>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</si>
  <si>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</si>
  <si>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</si>
  <si>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</si>
  <si>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</si>
  <si>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</si>
  <si>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</si>
  <si>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</si>
  <si>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</si>
  <si>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</si>
  <si>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</si>
  <si>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</si>
  <si>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</si>
  <si>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</si>
  <si>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</si>
  <si>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</si>
  <si>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</si>
  <si>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</si>
  <si>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</si>
  <si>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</si>
  <si>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</si>
  <si>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</si>
  <si>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</si>
  <si>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</si>
  <si>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</si>
  <si>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</si>
  <si>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</si>
  <si>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</si>
  <si>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</si>
  <si>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</si>
  <si>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</si>
  <si>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</si>
  <si>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</si>
  <si>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</si>
  <si>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</si>
  <si>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</si>
  <si>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</si>
  <si>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</si>
  <si>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</si>
  <si>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</si>
  <si>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</si>
  <si>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</si>
  <si>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</si>
  <si>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</si>
  <si>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</si>
  <si>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</si>
  <si>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</si>
  <si>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</si>
  <si>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</si>
  <si>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</si>
  <si>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</si>
  <si>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</si>
  <si>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</si>
  <si>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</si>
  <si>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</si>
  <si>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</si>
  <si>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</si>
  <si>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</si>
  <si>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</si>
  <si>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</si>
  <si>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</si>
  <si>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</si>
  <si>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</si>
  <si>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</si>
  <si>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</si>
  <si>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</si>
  <si>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</si>
  <si>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</si>
  <si>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</si>
  <si>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</si>
  <si>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</si>
  <si>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</si>
  <si>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</si>
  <si>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</si>
  <si>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</si>
  <si>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</si>
  <si>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</si>
  <si>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</si>
  <si>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</si>
  <si>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</si>
  <si>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</si>
  <si>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</si>
  <si>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</si>
  <si>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</si>
  <si>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</si>
  <si>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</si>
  <si>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</si>
  <si>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</si>
  <si>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</si>
  <si>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</si>
  <si>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</si>
  <si>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</si>
  <si>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</si>
  <si>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</si>
  <si>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</si>
  <si>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</si>
  <si>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</si>
  <si>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</si>
  <si>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</si>
  <si>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</si>
  <si>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</si>
  <si>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</si>
  <si>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</si>
  <si>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</si>
  <si>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</si>
  <si>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</si>
  <si>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</si>
  <si>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</si>
  <si>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</si>
  <si>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</si>
  <si>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</si>
  <si>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</si>
  <si>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</si>
  <si>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</si>
  <si>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</si>
  <si>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</si>
  <si>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</si>
  <si>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</si>
  <si>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</si>
  <si>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</si>
  <si>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</si>
  <si>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</si>
  <si>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</si>
  <si>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</si>
  <si>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</si>
  <si>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</si>
  <si>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</si>
  <si>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</si>
  <si>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</si>
  <si>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</si>
  <si>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</si>
  <si>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</si>
  <si>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</si>
  <si>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</si>
  <si>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</si>
  <si>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</si>
  <si>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</si>
  <si>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</si>
  <si>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</si>
  <si>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</si>
  <si>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</si>
  <si>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</si>
  <si>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</si>
  <si>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</si>
  <si>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</si>
  <si>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</si>
  <si>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</si>
  <si>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</si>
  <si>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</si>
  <si>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</si>
  <si>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</si>
  <si>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</si>
  <si>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</si>
  <si>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</si>
  <si>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</si>
  <si>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</si>
  <si>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</si>
  <si>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</si>
  <si>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</si>
  <si>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</si>
  <si>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</si>
  <si>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</si>
  <si>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</si>
  <si>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</si>
  <si>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</si>
  <si>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</si>
  <si>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</si>
  <si>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</si>
  <si>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</si>
  <si>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</si>
  <si>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</si>
  <si>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</si>
  <si>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</si>
  <si>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</si>
  <si>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</si>
  <si>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</si>
  <si>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</si>
  <si>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</si>
  <si>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</si>
  <si>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</si>
  <si>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</si>
  <si>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</si>
  <si>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</si>
  <si>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</si>
  <si>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</si>
  <si>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</si>
  <si>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</si>
  <si>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</si>
  <si>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</si>
  <si>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</si>
  <si>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</si>
  <si>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</si>
  <si>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</si>
  <si>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</si>
  <si>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</si>
  <si>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</si>
  <si>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</si>
  <si>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</si>
  <si>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</si>
  <si>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</si>
  <si>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</si>
  <si>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</si>
  <si>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</si>
  <si>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</si>
  <si>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</si>
  <si>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</si>
  <si>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</si>
  <si>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</si>
  <si>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</si>
  <si>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</si>
  <si>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</si>
  <si>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</si>
  <si>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</si>
  <si>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</si>
  <si>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</si>
  <si>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</si>
  <si>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</si>
  <si>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</si>
  <si>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</si>
  <si>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</si>
  <si>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</si>
  <si>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</si>
  <si>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</si>
  <si>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</si>
  <si>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</si>
  <si>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</si>
  <si>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</si>
  <si>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</si>
  <si>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</si>
  <si>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</si>
  <si>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</si>
  <si>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</si>
  <si>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</si>
  <si>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</si>
  <si>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</si>
  <si>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</si>
  <si>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</si>
  <si>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</si>
  <si>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</si>
  <si>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</si>
  <si>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</si>
  <si>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</si>
  <si>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</si>
  <si>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</si>
  <si>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</si>
  <si>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</si>
  <si>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</si>
  <si>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</si>
  <si>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</si>
  <si>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</si>
  <si>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</si>
  <si>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</si>
  <si>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</si>
  <si>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</si>
  <si>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</si>
  <si>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</si>
  <si>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</si>
  <si>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</si>
  <si>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</si>
  <si>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</si>
  <si>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</si>
  <si>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</si>
  <si>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</si>
  <si>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</si>
  <si>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</si>
  <si>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</si>
  <si>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</si>
  <si>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</si>
  <si>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</si>
  <si>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</si>
  <si>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</si>
  <si>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</si>
  <si>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</si>
  <si>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</si>
  <si>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</si>
  <si>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</si>
  <si>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</si>
  <si>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</si>
  <si>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</si>
  <si>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</si>
  <si>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</si>
  <si>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</si>
  <si>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</si>
  <si>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</si>
  <si>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</si>
  <si>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</si>
  <si>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</si>
  <si>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</si>
  <si>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</si>
  <si>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</si>
  <si>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</si>
  <si>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</si>
  <si>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</si>
  <si>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</si>
  <si>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</si>
  <si>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</si>
  <si>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</si>
  <si>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</si>
  <si>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</si>
  <si>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</si>
  <si>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</si>
  <si>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</si>
  <si>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</si>
  <si>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</si>
  <si>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</si>
  <si>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</si>
  <si>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</si>
  <si>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</si>
  <si>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</si>
  <si>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</si>
  <si>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</si>
  <si>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</si>
  <si>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</si>
  <si>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</si>
  <si>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</si>
  <si>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</si>
  <si>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</si>
  <si>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</si>
  <si>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</si>
  <si>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</si>
  <si>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</si>
  <si>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</si>
  <si>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</si>
  <si>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</si>
  <si>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</si>
  <si>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</si>
  <si>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</si>
  <si>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</si>
  <si>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</si>
  <si>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</si>
  <si>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</si>
  <si>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</si>
  <si>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</si>
  <si>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</si>
  <si>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</si>
  <si>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</si>
  <si>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</si>
  <si>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</si>
  <si>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</si>
  <si>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</si>
  <si>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</si>
  <si>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</si>
  <si>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</si>
  <si>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</si>
  <si>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</si>
  <si>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</si>
  <si>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</si>
  <si>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</si>
  <si>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</si>
  <si>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</si>
  <si>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</si>
  <si>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</si>
  <si>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</si>
  <si>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</si>
  <si>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</si>
  <si>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</si>
  <si>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</si>
  <si>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</si>
  <si>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</si>
  <si>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</si>
  <si>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</si>
  <si>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</si>
  <si>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</si>
  <si>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</si>
  <si>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</si>
  <si>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</si>
  <si>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</si>
  <si>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</si>
  <si>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</si>
  <si>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</si>
  <si>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</si>
  <si>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</si>
  <si>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</si>
  <si>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</si>
  <si>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</si>
  <si>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</si>
  <si>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</si>
  <si>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</si>
  <si>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</si>
  <si>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</si>
  <si>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</si>
  <si>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</si>
  <si>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</si>
  <si>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</si>
  <si>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</si>
  <si>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</si>
  <si>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</si>
  <si>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</si>
  <si>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</si>
  <si>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</si>
  <si>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</si>
  <si>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</si>
  <si>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</si>
  <si>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</si>
  <si>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</si>
  <si>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</si>
  <si>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</si>
  <si>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</si>
  <si>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</si>
  <si>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</si>
  <si>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</si>
  <si>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</si>
  <si>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</si>
  <si>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</si>
  <si>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</si>
  <si>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</si>
  <si>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</si>
  <si>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</si>
  <si>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</si>
  <si>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</si>
  <si>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</si>
  <si>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</si>
  <si>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</si>
  <si>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</si>
  <si>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</si>
  <si>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</si>
  <si>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</si>
  <si>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</si>
  <si>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</si>
  <si>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</si>
  <si>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</si>
  <si>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</si>
  <si>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</si>
  <si>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</si>
  <si>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</si>
  <si>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</si>
  <si>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</si>
  <si>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</si>
  <si>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</si>
  <si>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</si>
  <si>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</si>
  <si>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</si>
  <si>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</si>
  <si>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</si>
  <si>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</si>
  <si>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</si>
  <si>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</si>
  <si>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</si>
  <si>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</si>
  <si>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</si>
  <si>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</si>
  <si>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</si>
  <si>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</si>
  <si>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</si>
  <si>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</si>
  <si>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</si>
  <si>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</si>
  <si>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</si>
  <si>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</si>
  <si>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</si>
  <si>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</si>
  <si>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</si>
  <si>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</si>
  <si>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</si>
  <si>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</si>
  <si>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</si>
  <si>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</si>
  <si>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</si>
  <si>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</si>
  <si>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</si>
  <si>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</si>
  <si>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</si>
  <si>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</si>
  <si>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</si>
  <si>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</si>
  <si>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</si>
  <si>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</si>
  <si>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</si>
  <si>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</si>
  <si>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</si>
  <si>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</si>
  <si>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</si>
  <si>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</si>
  <si>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</si>
  <si>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</si>
  <si>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</si>
  <si>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</si>
  <si>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</si>
  <si>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</si>
  <si>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</si>
  <si>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</si>
  <si>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</si>
  <si>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</si>
  <si>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</si>
  <si>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</si>
  <si>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</si>
  <si>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</si>
  <si>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</si>
  <si>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</si>
  <si>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</si>
  <si>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</si>
  <si>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</si>
  <si>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</si>
  <si>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</si>
  <si>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</si>
  <si>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</si>
  <si>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</si>
  <si>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</si>
  <si>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</si>
  <si>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</si>
  <si>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</si>
  <si>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</si>
  <si>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</si>
  <si>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</si>
  <si>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</si>
  <si>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</si>
  <si>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</si>
  <si>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</si>
  <si>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</si>
  <si>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</si>
  <si>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</si>
  <si>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</si>
  <si>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</si>
  <si>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</si>
  <si>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</si>
  <si>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</si>
  <si>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</si>
  <si>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</si>
  <si>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</si>
  <si>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</si>
  <si>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</si>
  <si>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</si>
  <si>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</si>
  <si>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</si>
  <si>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</si>
  <si>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</si>
  <si>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</si>
  <si>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</si>
  <si>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</si>
  <si>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</si>
  <si>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</si>
  <si>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</si>
  <si>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</si>
  <si>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</si>
  <si>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</si>
  <si>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</si>
  <si>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</si>
  <si>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</si>
  <si>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</si>
  <si>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</si>
  <si>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</si>
  <si>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</si>
  <si>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</si>
  <si>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</si>
  <si>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</si>
  <si>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</si>
  <si>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</si>
  <si>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</si>
  <si>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</si>
  <si>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</si>
  <si>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</si>
  <si>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</si>
  <si>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</si>
  <si>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</si>
  <si>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</si>
  <si>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</si>
  <si>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</si>
  <si>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</si>
  <si>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</si>
  <si>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</si>
  <si>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</si>
  <si>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</si>
  <si>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</si>
  <si>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</si>
  <si>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</si>
  <si>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</si>
  <si>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</si>
  <si>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</si>
  <si>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</si>
  <si>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</si>
  <si>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</si>
  <si>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</si>
  <si>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</si>
  <si>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</si>
  <si>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</si>
  <si>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</si>
  <si>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</si>
  <si>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</si>
  <si>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</si>
  <si>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</si>
  <si>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</si>
  <si>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</si>
  <si>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</si>
  <si>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</si>
  <si>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</si>
  <si>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</si>
  <si>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</si>
  <si>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</si>
  <si>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</si>
  <si>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</si>
  <si>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</si>
  <si>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</si>
  <si>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</si>
  <si>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</si>
  <si>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</si>
  <si>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</si>
  <si>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</si>
  <si>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</si>
  <si>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</si>
  <si>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</si>
  <si>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</si>
  <si>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</si>
  <si>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</si>
  <si>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</si>
  <si>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</si>
  <si>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</si>
  <si>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</si>
  <si>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</si>
  <si>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</si>
  <si>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</si>
  <si>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</si>
  <si>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</si>
  <si>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</si>
  <si>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</si>
  <si>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</si>
  <si>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</si>
  <si>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</si>
  <si>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</si>
  <si>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</si>
  <si>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</si>
  <si>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</si>
  <si>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</si>
  <si>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</si>
  <si>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</si>
  <si>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</si>
  <si>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</si>
  <si>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</si>
  <si>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</si>
  <si>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</si>
  <si>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</si>
  <si>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</si>
  <si>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</si>
  <si>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</si>
  <si>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</si>
  <si>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</si>
  <si>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</si>
  <si>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</si>
  <si>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</si>
  <si>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</si>
  <si>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</si>
  <si>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</si>
  <si>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</si>
  <si>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</si>
  <si>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</si>
  <si>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</si>
  <si>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</si>
  <si>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</si>
  <si>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</si>
  <si>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</si>
  <si>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</si>
  <si>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</si>
  <si>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</si>
  <si>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</si>
  <si>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</si>
  <si>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</si>
  <si>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</si>
  <si>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</si>
  <si>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</si>
  <si>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</si>
  <si>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</si>
  <si>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</si>
  <si>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</si>
  <si>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</si>
  <si>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</si>
  <si>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</si>
  <si>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</si>
  <si>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</si>
  <si>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</si>
  <si>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</si>
  <si>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</si>
  <si>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</si>
  <si>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</si>
  <si>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</si>
  <si>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</si>
  <si>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</si>
  <si>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</si>
  <si>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</si>
  <si>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</si>
  <si>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</si>
  <si>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</si>
  <si>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</si>
  <si>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</si>
  <si>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</si>
  <si>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</si>
  <si>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</si>
  <si>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</si>
  <si>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</si>
  <si>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</si>
  <si>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</si>
  <si>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</si>
  <si>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</si>
  <si>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</si>
  <si>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</si>
  <si>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</si>
  <si>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</si>
  <si>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</si>
  <si>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</si>
  <si>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</si>
  <si>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</si>
  <si>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</si>
  <si>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</si>
  <si>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</si>
  <si>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</si>
  <si>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</si>
  <si>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</si>
  <si>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</si>
  <si>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</si>
  <si>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</si>
  <si>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</si>
  <si>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</si>
  <si>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</si>
  <si>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</si>
  <si>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</si>
  <si>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</si>
  <si>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</si>
  <si>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</si>
  <si>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</si>
  <si>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</si>
  <si>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</si>
  <si>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</si>
  <si>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</si>
  <si>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</si>
  <si>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</si>
  <si>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</si>
  <si>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</si>
  <si>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</si>
  <si>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</si>
  <si>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</si>
  <si>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</si>
  <si>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</si>
  <si>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</si>
  <si>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</si>
  <si>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</si>
  <si>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</si>
  <si>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</si>
  <si>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</si>
  <si>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</si>
  <si>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</si>
  <si>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</si>
  <si>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</si>
  <si>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</si>
  <si>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</si>
  <si>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</si>
  <si>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</si>
  <si>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</si>
  <si>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</si>
  <si>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</si>
  <si>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</si>
  <si>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</si>
  <si>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</si>
  <si>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</si>
  <si>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</si>
  <si>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</si>
  <si>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</si>
  <si>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</si>
  <si>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</si>
  <si>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</si>
  <si>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</si>
  <si>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</si>
  <si>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</si>
  <si>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</si>
  <si>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</si>
  <si>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</si>
  <si>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</si>
  <si>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</si>
  <si>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</si>
  <si>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</si>
  <si>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</si>
  <si>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</si>
  <si>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</si>
  <si>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</si>
  <si>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</si>
  <si>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</si>
  <si>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</si>
  <si>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</si>
  <si>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</si>
  <si>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</si>
  <si>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</si>
  <si>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</si>
  <si>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</si>
  <si>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</si>
  <si>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</si>
  <si>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</si>
  <si>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</si>
  <si>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</si>
  <si>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</si>
  <si>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</si>
  <si>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</si>
  <si>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</si>
  <si>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</si>
  <si>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</si>
  <si>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</si>
  <si>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</si>
  <si>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</si>
  <si>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</si>
  <si>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</si>
  <si>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</si>
  <si>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</si>
  <si>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</si>
  <si>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</si>
  <si>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</si>
  <si>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</si>
  <si>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</si>
  <si>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</si>
  <si>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</si>
  <si>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</si>
  <si>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</si>
  <si>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</si>
  <si>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</si>
  <si>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</si>
  <si>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</si>
  <si>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</si>
  <si>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</si>
  <si>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</si>
  <si>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</si>
  <si>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</si>
  <si>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</si>
  <si>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</si>
  <si>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</si>
  <si>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</si>
  <si>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</si>
  <si>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</si>
  <si>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</si>
  <si>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</si>
  <si>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</si>
  <si>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</si>
  <si>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</si>
  <si>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</si>
  <si>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</si>
  <si>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</si>
  <si>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</si>
  <si>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</si>
  <si>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</si>
  <si>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</si>
  <si>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</si>
  <si>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</si>
  <si>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</si>
  <si>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</si>
  <si>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</si>
  <si>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</si>
  <si>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</si>
  <si>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</si>
  <si>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</si>
  <si>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</si>
  <si>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</si>
  <si>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</si>
  <si>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</si>
  <si>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</si>
  <si>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</si>
  <si>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</si>
  <si>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</si>
  <si>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</si>
  <si>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</si>
  <si>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</si>
  <si>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</si>
  <si>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</si>
  <si>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</si>
  <si>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</si>
  <si>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</si>
  <si>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</si>
  <si>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</si>
  <si>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</si>
  <si>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</si>
  <si>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</si>
  <si>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</si>
  <si>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</si>
  <si>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</si>
  <si>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</si>
  <si>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</si>
  <si>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</si>
  <si>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</si>
  <si>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</si>
  <si>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</si>
  <si>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</si>
  <si>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</si>
  <si>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</si>
  <si>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</si>
  <si>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</si>
  <si>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</si>
  <si>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</si>
  <si>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</si>
  <si>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</si>
  <si>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</si>
  <si>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</si>
  <si>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</si>
  <si>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</si>
  <si>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</si>
  <si>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</si>
  <si>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</si>
  <si>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</si>
  <si>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</si>
  <si>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</si>
  <si>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</si>
  <si>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</si>
  <si>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</si>
  <si>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</si>
  <si>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</si>
  <si>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</si>
  <si>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</si>
  <si>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</si>
  <si>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</si>
  <si>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</si>
  <si>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</si>
  <si>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</si>
  <si>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</si>
  <si>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</si>
  <si>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</si>
  <si>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</si>
  <si>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</si>
  <si>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</si>
  <si>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</si>
  <si>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</si>
  <si>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</si>
  <si>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</si>
  <si>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</si>
  <si>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</si>
  <si>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</si>
  <si>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</si>
  <si>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</si>
  <si>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</si>
  <si>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</si>
  <si>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</si>
  <si>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</si>
  <si>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</si>
  <si>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</si>
  <si>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</si>
  <si>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</si>
  <si>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</si>
  <si>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</si>
  <si>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</si>
  <si>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</si>
  <si>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</si>
  <si>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</si>
  <si>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</si>
  <si>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</si>
  <si>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</si>
  <si>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</si>
  <si>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</si>
  <si>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</si>
  <si>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</si>
  <si>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</si>
  <si>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</si>
  <si>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</si>
  <si>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</si>
  <si>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</si>
  <si>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</si>
  <si>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</si>
  <si>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</si>
  <si>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</si>
  <si>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</si>
  <si>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</si>
  <si>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</si>
  <si>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</si>
  <si>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</si>
  <si>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</si>
  <si>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</si>
  <si>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</si>
  <si>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</si>
  <si>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</si>
  <si>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</si>
  <si>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</si>
  <si>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</si>
  <si>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</si>
  <si>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</si>
  <si>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</si>
  <si>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</si>
  <si>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</si>
  <si>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</si>
  <si>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</si>
  <si>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</si>
  <si>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</si>
  <si>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</si>
  <si>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</si>
  <si>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</si>
  <si>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</si>
  <si>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</si>
  <si>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</si>
  <si>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</si>
  <si>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</si>
  <si>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</si>
  <si>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</si>
  <si>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</si>
  <si>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</si>
  <si>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</si>
  <si>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</si>
  <si>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</si>
  <si>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</si>
  <si>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</si>
  <si>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</si>
  <si>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</si>
  <si>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</si>
  <si>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</si>
  <si>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</si>
  <si>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</si>
  <si>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</si>
  <si>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</si>
  <si>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</si>
  <si>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</si>
  <si>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</si>
  <si>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</si>
  <si>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</si>
  <si>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</si>
  <si>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</si>
  <si>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</si>
  <si>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</si>
  <si>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</si>
  <si>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</si>
  <si>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</si>
  <si>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</si>
  <si>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</si>
  <si>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</si>
  <si>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</si>
  <si>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</si>
  <si>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</si>
  <si>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</si>
  <si>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</si>
  <si>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</si>
  <si>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</si>
  <si>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</si>
  <si>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</si>
  <si>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</si>
  <si>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</si>
  <si>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</si>
  <si>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</si>
  <si>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</si>
  <si>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</si>
  <si>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</si>
  <si>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</si>
  <si>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</si>
  <si>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</si>
  <si>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</si>
  <si>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</si>
  <si>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</si>
  <si>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</si>
  <si>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</si>
  <si>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</si>
  <si>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</si>
  <si>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</si>
  <si>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</si>
  <si>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</si>
  <si>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</si>
  <si>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</si>
  <si>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</si>
  <si>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</si>
  <si>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</si>
  <si>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</si>
  <si>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</si>
  <si>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</si>
  <si>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</si>
  <si>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</si>
  <si>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</si>
  <si>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</si>
  <si>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</si>
  <si>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</si>
  <si>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</si>
  <si>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</si>
  <si>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</si>
  <si>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</si>
  <si>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</si>
  <si>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</si>
  <si>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</si>
  <si>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</si>
  <si>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</si>
  <si>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</si>
  <si>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</si>
  <si>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</si>
  <si>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</si>
  <si>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</si>
  <si>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</si>
  <si>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</si>
  <si>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</si>
  <si>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</si>
  <si>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</si>
  <si>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</si>
  <si>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</si>
  <si>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</si>
  <si>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</si>
  <si>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</si>
  <si>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</si>
  <si>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</si>
  <si>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</si>
  <si>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</si>
  <si>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</si>
  <si>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</si>
  <si>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</si>
  <si>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</si>
  <si>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</si>
  <si>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</si>
  <si>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</si>
  <si>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</si>
  <si>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</si>
  <si>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</si>
  <si>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</si>
  <si>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</si>
  <si>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</si>
  <si>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</si>
  <si>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</si>
  <si>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</si>
  <si>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</si>
  <si>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</si>
  <si>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</si>
  <si>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</si>
  <si>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</si>
  <si>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</si>
  <si>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</si>
  <si>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</si>
  <si>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</si>
  <si>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</si>
  <si>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</si>
  <si>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</si>
  <si>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</si>
  <si>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</si>
  <si>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</si>
  <si>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</si>
  <si>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</si>
  <si>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</si>
  <si>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</si>
  <si>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</si>
  <si>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</si>
  <si>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</si>
  <si>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</si>
  <si>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</si>
  <si>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</si>
  <si>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</si>
  <si>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</si>
  <si>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</si>
  <si>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</si>
  <si>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</si>
  <si>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</si>
  <si>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</si>
  <si>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</si>
  <si>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</si>
  <si>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</si>
  <si>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</si>
  <si>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</si>
  <si>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</si>
  <si>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</si>
  <si>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</si>
  <si>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</si>
  <si>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</si>
  <si>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</si>
  <si>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</si>
  <si>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</si>
  <si>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</si>
  <si>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</si>
  <si>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</si>
  <si>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</si>
  <si>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</si>
  <si>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</si>
  <si>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</si>
  <si>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</si>
  <si>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</si>
  <si>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</si>
  <si>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</si>
  <si>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</si>
  <si>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</si>
  <si>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</si>
  <si>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</si>
  <si>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</si>
  <si>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</si>
  <si>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</si>
  <si>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</si>
  <si>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</si>
  <si>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</si>
  <si>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</si>
  <si>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</si>
  <si>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</si>
  <si>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</si>
  <si>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</si>
  <si>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</si>
  <si>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</si>
  <si>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</si>
  <si>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</si>
  <si>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</si>
  <si>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</si>
  <si>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</si>
  <si>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</si>
  <si>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</si>
  <si>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</si>
  <si>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</si>
  <si>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</si>
  <si>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</si>
  <si>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</si>
  <si>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</si>
  <si>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</si>
  <si>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</si>
  <si>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</si>
  <si>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</si>
  <si>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</si>
  <si>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</si>
  <si>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</si>
  <si>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</si>
  <si>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</si>
  <si>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</si>
  <si>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</si>
  <si>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</si>
  <si>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</si>
  <si>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</si>
  <si>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</si>
  <si>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</si>
  <si>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</si>
  <si>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</si>
  <si>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</si>
  <si>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</si>
  <si>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</si>
  <si>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</si>
  <si>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</si>
  <si>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</si>
  <si>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</si>
  <si>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</si>
  <si>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</si>
  <si>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</si>
  <si>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</si>
  <si>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</si>
  <si>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</si>
  <si>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</si>
  <si>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</si>
  <si>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</si>
  <si>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</si>
  <si>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</si>
  <si>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</si>
  <si>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</si>
  <si>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</si>
  <si>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</si>
  <si>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</si>
  <si>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</si>
  <si>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</si>
  <si>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</si>
  <si>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</si>
  <si>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</si>
  <si>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</si>
  <si>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</si>
  <si>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</si>
  <si>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</si>
  <si>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</si>
  <si>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</si>
  <si>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</si>
  <si>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</si>
  <si>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</si>
  <si>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</si>
  <si>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</si>
  <si>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</si>
  <si>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</si>
  <si>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</si>
  <si>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</si>
  <si>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</si>
  <si>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</si>
  <si>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</si>
  <si>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</si>
  <si>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</si>
  <si>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</si>
  <si>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</si>
  <si>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</si>
  <si>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</si>
  <si>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</si>
  <si>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</si>
  <si>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</si>
  <si>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</si>
  <si>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</si>
  <si>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</si>
  <si>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</si>
  <si>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</si>
  <si>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</si>
  <si>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</si>
  <si>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</si>
  <si>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</si>
  <si>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</si>
  <si>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</si>
  <si>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</si>
  <si>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</si>
  <si>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</si>
  <si>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</si>
  <si>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</si>
  <si>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</si>
  <si>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</si>
  <si>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</si>
  <si>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</si>
  <si>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</si>
  <si>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</si>
  <si>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</si>
  <si>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</si>
  <si>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</si>
  <si>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</si>
  <si>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</si>
  <si>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</si>
  <si>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</si>
  <si>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</si>
  <si>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</si>
  <si>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</si>
  <si>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</si>
  <si>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</si>
  <si>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</si>
  <si>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</si>
  <si>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</si>
  <si>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</si>
  <si>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</si>
  <si>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</si>
  <si>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</si>
  <si>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</si>
  <si>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</si>
  <si>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</si>
  <si>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</si>
  <si>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</si>
  <si>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</si>
  <si>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</si>
  <si>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</si>
  <si>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</si>
  <si>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</si>
  <si>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</si>
  <si>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</si>
  <si>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</si>
  <si>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</si>
  <si>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</si>
  <si>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</si>
  <si>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</si>
  <si>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</si>
  <si>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</si>
  <si>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</si>
  <si>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</si>
  <si>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</si>
  <si>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</si>
  <si>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</si>
  <si>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</si>
  <si>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</si>
  <si>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</si>
  <si>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</si>
  <si>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</si>
  <si>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</si>
  <si>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</si>
  <si>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</si>
  <si>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</si>
  <si>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</si>
  <si>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</si>
  <si>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</si>
  <si>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</si>
  <si>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</si>
  <si>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</si>
  <si>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</si>
  <si>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</si>
  <si>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</si>
  <si>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</si>
  <si>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</si>
  <si>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</si>
  <si>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</si>
  <si>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</si>
  <si>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</si>
  <si>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</si>
  <si>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</si>
  <si>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</si>
  <si>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</si>
  <si>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</si>
  <si>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</si>
  <si>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</si>
  <si>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</si>
  <si>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</si>
  <si>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</si>
  <si>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</si>
  <si>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</si>
  <si>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</si>
  <si>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</si>
  <si>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</si>
  <si>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</si>
  <si>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</si>
  <si>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</si>
  <si>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</si>
  <si>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</si>
  <si>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</si>
  <si>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</si>
  <si>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</si>
  <si>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</si>
  <si>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</si>
  <si>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</si>
  <si>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</si>
  <si>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</si>
  <si>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</si>
  <si>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</si>
  <si>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</si>
  <si>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</si>
  <si>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</si>
  <si>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</si>
  <si>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</si>
  <si>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</si>
  <si>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</si>
  <si>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</si>
  <si>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</si>
  <si>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</si>
  <si>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</si>
  <si>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</si>
  <si>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</si>
  <si>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</si>
  <si>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</si>
  <si>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</si>
  <si>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</si>
  <si>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</si>
  <si>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</si>
  <si>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</si>
  <si>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</si>
  <si>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</si>
  <si>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</si>
  <si>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</si>
  <si>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</si>
  <si>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</si>
  <si>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</si>
  <si>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</si>
  <si>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</si>
  <si>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</si>
  <si>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</si>
  <si>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</si>
  <si>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</si>
  <si>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</si>
  <si>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</si>
  <si>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</si>
  <si>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</si>
  <si>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</si>
  <si>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</si>
  <si>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</si>
  <si>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</si>
  <si>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</si>
  <si>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</si>
  <si>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</si>
  <si>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</si>
  <si>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</si>
  <si>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</si>
  <si>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</si>
  <si>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</si>
  <si>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</si>
  <si>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</si>
  <si>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</si>
  <si>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</si>
  <si>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</si>
  <si>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</si>
  <si>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</si>
  <si>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</si>
  <si>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</si>
  <si>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</si>
  <si>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</si>
  <si>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</si>
  <si>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</si>
  <si>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</si>
  <si>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</si>
  <si>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</si>
  <si>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</si>
  <si>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</si>
  <si>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</si>
  <si>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</si>
  <si>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</si>
  <si>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</si>
  <si>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</si>
  <si>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</si>
  <si>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</si>
  <si>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</si>
  <si>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</si>
  <si>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</si>
  <si>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</si>
  <si>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</si>
  <si>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</si>
  <si>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</si>
  <si>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</si>
  <si>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</si>
  <si>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</si>
  <si>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</si>
  <si>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</si>
  <si>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</si>
  <si>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</si>
  <si>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</si>
  <si>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</si>
  <si>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</si>
  <si>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</si>
  <si>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</si>
  <si>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</si>
  <si>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</si>
  <si>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</si>
  <si>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</si>
  <si>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</si>
  <si>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</si>
  <si>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</si>
  <si>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</si>
  <si>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</si>
  <si>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</si>
  <si>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</si>
  <si>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</si>
  <si>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</si>
  <si>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</si>
  <si>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</si>
  <si>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</si>
  <si>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</si>
  <si>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</si>
  <si>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</si>
  <si>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</si>
  <si>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</si>
  <si>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</si>
  <si>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</si>
  <si>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</si>
  <si>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</si>
  <si>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</si>
  <si>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</si>
  <si>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</si>
  <si>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</si>
  <si>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</si>
  <si>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</si>
  <si>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</si>
  <si>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</si>
  <si>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</si>
  <si>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</si>
  <si>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</si>
  <si>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</si>
  <si>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</si>
  <si>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</si>
  <si>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</si>
  <si>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</si>
  <si>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</si>
  <si>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</si>
  <si>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</si>
  <si>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</si>
  <si>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</si>
  <si>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</si>
  <si>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</si>
  <si>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</si>
  <si>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</si>
  <si>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</si>
  <si>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</si>
  <si>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</si>
  <si>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</si>
  <si>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</si>
  <si>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</si>
  <si>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</si>
  <si>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</si>
  <si>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</si>
  <si>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</si>
  <si>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</si>
  <si>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</si>
  <si>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</si>
  <si>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</si>
  <si>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</si>
  <si>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Quantity</t>
  </si>
  <si>
    <t xml:space="preserve"> Quantity</t>
  </si>
  <si>
    <t xml:space="preserve"> TX ID</t>
  </si>
  <si>
    <t>Avg.Rating C</t>
  </si>
  <si>
    <t>Avg.Days to Deliver</t>
  </si>
  <si>
    <t>Sum of Amount</t>
  </si>
  <si>
    <t xml:space="preserve"> Amount</t>
  </si>
  <si>
    <t>Female</t>
  </si>
  <si>
    <t>Male</t>
  </si>
  <si>
    <t>Other</t>
  </si>
  <si>
    <t>Unknown</t>
  </si>
  <si>
    <t>California Total</t>
  </si>
  <si>
    <t>Order Date (Month)</t>
  </si>
  <si>
    <t>Jan</t>
  </si>
  <si>
    <t>Feb</t>
  </si>
  <si>
    <t>Mar</t>
  </si>
  <si>
    <t xml:space="preserve"> Order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</si>
</sst>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9"/>
        <bgColor indexed="64"/>
      </patternFill>
    </fill>
    <fill>
      <gradientFill degree="90">
        <stop position="0">
          <color theme="0"/>
        </stop>
        <stop position="1">
          <color theme="4"/>
        </stop>
      </gradientFill>
    </fill>
    <fill>
      <patternFill patternType="solid">
        <fgColor rgb="FF14226A"/>
        <bgColor indexed="64"/>
      </patternFill>
    </fill>
  </fills>
  <borders count="8">
    <border>
      <left/>
      <right/>
      <top/>
      <bottom/>
      <diagonal/>
    </border>
    <border>
      <left style="mediumDashDotDot">
        <color theme="0"/>
      </left>
      <right style="mediumDashDotDot">
        <color theme="0"/>
      </right>
      <top/>
      <bottom style="mediumDashDotDot">
        <color theme="0"/>
      </bottom>
      <diagonal/>
    </border>
    <border>
      <left style="mediumDashDotDot">
        <color theme="0"/>
      </left>
      <right/>
      <top/>
      <bottom style="mediumDashDotDot">
        <color theme="0"/>
      </bottom>
      <diagonal/>
    </border>
    <border>
      <left style="mediumDashDotDot">
        <color theme="0"/>
      </left>
      <right style="mediumDashDotDot">
        <color theme="0"/>
      </right>
      <top style="mediumDashDotDot">
        <color theme="0"/>
      </top>
      <bottom style="mediumDashDotDot">
        <color theme="0"/>
      </bottom>
      <diagonal/>
    </border>
    <border>
      <left style="mediumDashDotDot">
        <color theme="0"/>
      </left>
      <right/>
      <top style="mediumDashDotDot">
        <color theme="0"/>
      </top>
      <bottom style="mediumDashDotDot">
        <color theme="0"/>
      </bottom>
      <diagonal/>
    </border>
    <border>
      <left style="mediumDashDotDot">
        <color theme="0"/>
      </left>
      <right style="mediumDashDotDot">
        <color theme="0"/>
      </right>
      <top style="mediumDashDotDot">
        <color theme="0"/>
      </top>
      <bottom/>
      <diagonal/>
    </border>
    <border>
      <left style="mediumDashDotDot">
        <color theme="0"/>
      </left>
      <right/>
      <top style="mediumDashDotDot">
        <color theme="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Alignment="1">
      <alignment horizontal="center"/>
    </xf>
    <xf numFmtId="0" fontId="0" fillId="0" borderId="0" xfId="0" applyNumberFormat="1" applyAlignment="1">
      <alignment horizontal="center"/>
    </xf>
    <xf numFmtId="2" fontId="0" fillId="0" borderId="0" xfId="0" applyNumberFormat="1" applyAlignment="1">
      <alignment horizontal="center"/>
    </xf>
    <xf numFmtId="0" fontId="0" fillId="0" borderId="0" xfId="0" pivotButton="1" applyAlignment="1">
      <alignment horizontal="center"/>
    </xf>
    <xf numFmtId="0" fontId="0" fillId="0" borderId="0" xfId="0" pivotButton="1"/>
    <xf numFmtId="9" fontId="0" fillId="0" borderId="0" xfId="0" applyNumberFormat="1" applyAlignment="1">
      <alignment horizontal="center"/>
    </xf>
    <xf numFmtId="9" fontId="0" fillId="0" borderId="0" xfId="0" pivotButton="1" applyNumberFormat="1" applyAlignment="1">
      <alignment horizontal="center"/>
    </xf>
    <xf numFmtId="164" fontId="0" fillId="0" borderId="0" xfId="1" applyNumberFormat="1" applyFont="1"/>
    <xf numFmtId="164" fontId="0" fillId="3" borderId="1" xfId="1" applyNumberFormat="1" applyFont="1" applyFill="1" applyBorder="1"/>
    <xf numFmtId="164" fontId="0" fillId="3" borderId="2" xfId="1" applyNumberFormat="1" applyFont="1" applyFill="1" applyBorder="1"/>
    <xf numFmtId="164" fontId="0" fillId="3" borderId="3" xfId="1" applyNumberFormat="1" applyFont="1" applyFill="1" applyBorder="1"/>
    <xf numFmtId="164" fontId="0" fillId="3" borderId="4" xfId="1" applyNumberFormat="1" applyFont="1" applyFill="1" applyBorder="1"/>
    <xf numFmtId="164" fontId="0" fillId="3" borderId="5" xfId="1" applyNumberFormat="1" applyFont="1" applyFill="1" applyBorder="1"/>
    <xf numFmtId="164" fontId="0" fillId="3" borderId="6" xfId="1" applyNumberFormat="1" applyFont="1" applyFill="1" applyBorder="1"/>
    <xf numFmtId="0" fontId="0" fillId="4" borderId="0" xfId="0" applyFill="1"/>
    <xf numFmtId="0" fontId="0" fillId="0" borderId="7" xfId="0" applyBorder="1" applyAlignment="1">
      <alignment horizontal="center" vertical="center"/>
    </xf>
  </cellXfs>
  <cellStyles count="2">
    <cellStyle name="Normal" xfId="0" builtinId="0"/>
    <cellStyle name="Percent" xfId="1" builtinId="5"/>
  </cellStyles>
  <dxfs count="3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colors>
    <mruColors>
      <color rgb="FF14226A"/>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Dashboard.xlsx]Analysis!PivotTable3</c:name>
    <c:fmtId val="2"/>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IN" b="1"/>
              <a:t>Last</a:t>
            </a:r>
            <a:r>
              <a:rPr lang="en-IN" b="1" baseline="0"/>
              <a:t> 13 Week Trends Qty &amp; Amount</a:t>
            </a:r>
            <a:endParaRPr lang="en-IN" b="1"/>
          </a:p>
        </c:rich>
      </c:tx>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Analysis!$B$8</c:f>
              <c:strCache>
                <c:ptCount val="1"/>
                <c:pt idx="0">
                  <c:v> Quantity</c:v>
                </c:pt>
              </c:strCache>
            </c:strRef>
          </c:tx>
          <c:spPr>
            <a:ln w="28575" cap="rnd">
              <a:solidFill>
                <a:schemeClr val="accent1"/>
              </a:solidFill>
              <a:round/>
            </a:ln>
            <a:effectLst/>
          </c:spPr>
          <c:marker>
            <c:symbol val="none"/>
          </c:marker>
          <c:cat>
            <c:strRef>
              <c:f>Analysis!$A$9:$A$21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Analysis!$B$9:$B$21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951-4D33-A2B1-2A74B3510AD2}"/>
            </c:ext>
          </c:extLst>
        </c:ser>
        <c:dLbls>
          <c:showLegendKey val="0"/>
          <c:showVal val="0"/>
          <c:showCatName val="0"/>
          <c:showSerName val="0"/>
          <c:showPercent val="0"/>
          <c:showBubbleSize val="0"/>
        </c:dLbls>
        <c:marker val="1"/>
        <c:smooth val="0"/>
        <c:axId val="684351632"/>
        <c:axId val="794749504"/>
      </c:lineChart>
      <c:lineChart>
        <c:grouping val="standard"/>
        <c:varyColors val="0"/>
        <c:ser>
          <c:idx val="1"/>
          <c:order val="1"/>
          <c:tx>
            <c:strRef>
              <c:f>Analysis!$C$8</c:f>
              <c:strCache>
                <c:ptCount val="1"/>
                <c:pt idx="0">
                  <c:v> Amount</c:v>
                </c:pt>
              </c:strCache>
            </c:strRef>
          </c:tx>
          <c:spPr>
            <a:ln w="28575" cap="rnd">
              <a:solidFill>
                <a:schemeClr val="accent2"/>
              </a:solidFill>
              <a:round/>
            </a:ln>
            <a:effectLst/>
          </c:spPr>
          <c:marker>
            <c:symbol val="none"/>
          </c:marker>
          <c:cat>
            <c:strRef>
              <c:f>Analysis!$A$9:$A$21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Analysis!$C$9:$C$21</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951-4D33-A2B1-2A74B3510AD2}"/>
            </c:ext>
          </c:extLst>
        </c:ser>
        <c:dLbls>
          <c:showLegendKey val="0"/>
          <c:showVal val="0"/>
          <c:showCatName val="0"/>
          <c:showSerName val="0"/>
          <c:showPercent val="0"/>
          <c:showBubbleSize val="0"/>
        </c:dLbls>
        <c:marker val="1"/>
        <c:smooth val="0"/>
        <c:axId val="795284480"/>
        <c:axId val="794748672"/>
      </c:lineChart>
      <c:catAx>
        <c:axId val="68435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4749504"/>
        <c:crosses val="autoZero"/>
        <c:auto val="1"/>
        <c:lblAlgn val="ctr"/>
        <c:lblOffset val="100"/>
        <c:noMultiLvlLbl val="0"/>
      </c:catAx>
      <c:valAx>
        <c:axId val="79474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351632"/>
        <c:crosses val="autoZero"/>
        <c:crossBetween val="between"/>
      </c:valAx>
      <c:valAx>
        <c:axId val="794748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5284480"/>
        <c:crosses val="max"/>
        <c:crossBetween val="between"/>
      </c:valAx>
      <c:catAx>
        <c:axId val="795284480"/>
        <c:scaling>
          <c:orientation val="minMax"/>
        </c:scaling>
        <c:delete val="1"/>
        <c:axPos val="b"/>
        <c:numFmt formatCode="General" sourceLinked="1"/>
        <c:majorTickMark val="out"/>
        <c:minorTickMark val="none"/>
        <c:tickLblPos val="nextTo"/>
        <c:crossAx val="7947486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4.3611454970073633E-2"/>
          <c:y val="0.17701664434682884"/>
          <c:w val="0.89283064697950032"/>
          <c:h val="0.72193504468121106"/>
        </c:manualLayout>
      </c:layout>
      <c:lineChart>
        <c:grouping val="standard"/>
        <c:varyColors val="0"/>
        <c:ser>
          <c:idx val="0"/>
          <c:order val="0"/>
          <c:tx>
            <c:strRef>
              <c:f>Analysis!$T$3</c:f>
              <c:strCache>
                <c:ptCount val="1"/>
                <c:pt idx="0">
                  <c:v>Total</c:v>
                </c:pt>
              </c:strCache>
            </c:strRef>
          </c:tx>
          <c:spPr>
            <a:ln w="28575" cap="rnd">
              <a:solidFill>
                <a:schemeClr val="accent1"/>
              </a:solidFill>
              <a:round/>
            </a:ln>
            <a:effectLst/>
          </c:spPr>
          <c:marker>
            <c:symbol val="none"/>
          </c:marker>
          <c:cat>
            <c:strRef>
              <c:f>Analysis!$S$4:$S$51</c:f>
              <c:strCach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40</c:v>
                </c:pt>
                <c:pt idx="38">
                  <c:v>41</c:v>
                </c:pt>
                <c:pt idx="39">
                  <c:v>42</c:v>
                </c:pt>
                <c:pt idx="40">
                  <c:v>43</c:v>
                </c:pt>
                <c:pt idx="41">
                  <c:v>45</c:v>
                </c:pt>
                <c:pt idx="42">
                  <c:v>47</c:v>
                </c:pt>
                <c:pt idx="43">
                  <c:v>49</c:v>
                </c:pt>
                <c:pt idx="44">
                  <c:v>62</c:v>
                </c:pt>
                <c:pt idx="45">
                  <c:v>63</c:v>
                </c:pt>
                <c:pt idx="46">
                  <c:v>70</c:v>
                </c:pt>
                <c:pt idx="47">
                  <c:v>87</c:v>
                </c:pt>
              </c:strCache>
            </c:strRef>
          </c:cat>
          <c:val>
            <c:numRef>
              <c:f>Analysis!$T$4:$T$51</c:f>
              <c:numCache>
                <c:formatCode>General</c:formatCode>
                <c:ptCount val="48"/>
                <c:pt idx="0">
                  <c:v>397</c:v>
                </c:pt>
                <c:pt idx="1">
                  <c:v>540</c:v>
                </c:pt>
                <c:pt idx="2">
                  <c:v>375</c:v>
                </c:pt>
                <c:pt idx="3">
                  <c:v>246</c:v>
                </c:pt>
                <c:pt idx="4">
                  <c:v>195</c:v>
                </c:pt>
                <c:pt idx="5">
                  <c:v>122</c:v>
                </c:pt>
                <c:pt idx="6">
                  <c:v>114</c:v>
                </c:pt>
                <c:pt idx="7">
                  <c:v>73</c:v>
                </c:pt>
                <c:pt idx="8">
                  <c:v>52</c:v>
                </c:pt>
                <c:pt idx="9">
                  <c:v>53</c:v>
                </c:pt>
                <c:pt idx="10">
                  <c:v>37</c:v>
                </c:pt>
                <c:pt idx="11">
                  <c:v>33</c:v>
                </c:pt>
                <c:pt idx="12">
                  <c:v>23</c:v>
                </c:pt>
                <c:pt idx="13">
                  <c:v>17</c:v>
                </c:pt>
                <c:pt idx="14">
                  <c:v>15</c:v>
                </c:pt>
                <c:pt idx="15">
                  <c:v>13</c:v>
                </c:pt>
                <c:pt idx="16">
                  <c:v>10</c:v>
                </c:pt>
                <c:pt idx="17">
                  <c:v>10</c:v>
                </c:pt>
                <c:pt idx="18">
                  <c:v>13</c:v>
                </c:pt>
                <c:pt idx="19">
                  <c:v>4</c:v>
                </c:pt>
                <c:pt idx="20">
                  <c:v>4</c:v>
                </c:pt>
                <c:pt idx="21">
                  <c:v>4</c:v>
                </c:pt>
                <c:pt idx="22">
                  <c:v>4</c:v>
                </c:pt>
                <c:pt idx="23">
                  <c:v>3</c:v>
                </c:pt>
                <c:pt idx="24">
                  <c:v>3</c:v>
                </c:pt>
                <c:pt idx="25">
                  <c:v>4</c:v>
                </c:pt>
                <c:pt idx="26">
                  <c:v>4</c:v>
                </c:pt>
                <c:pt idx="27">
                  <c:v>5</c:v>
                </c:pt>
                <c:pt idx="28">
                  <c:v>2</c:v>
                </c:pt>
                <c:pt idx="29">
                  <c:v>4</c:v>
                </c:pt>
                <c:pt idx="30">
                  <c:v>1</c:v>
                </c:pt>
                <c:pt idx="31">
                  <c:v>1</c:v>
                </c:pt>
                <c:pt idx="32">
                  <c:v>1</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numCache>
            </c:numRef>
          </c:val>
          <c:smooth val="0"/>
          <c:extLst>
            <c:ext xmlns:c16="http://schemas.microsoft.com/office/drawing/2014/chart" uri="{C3380CC4-5D6E-409C-BE32-E72D297353CC}">
              <c16:uniqueId val="{00000000-B0EA-4854-8958-070426043B8A}"/>
            </c:ext>
          </c:extLst>
        </c:ser>
        <c:dLbls>
          <c:showLegendKey val="0"/>
          <c:showVal val="0"/>
          <c:showCatName val="0"/>
          <c:showSerName val="0"/>
          <c:showPercent val="0"/>
          <c:showBubbleSize val="0"/>
        </c:dLbls>
        <c:smooth val="0"/>
        <c:axId val="800229808"/>
        <c:axId val="1736883968"/>
      </c:lineChart>
      <c:catAx>
        <c:axId val="8002298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6883968"/>
        <c:crosses val="autoZero"/>
        <c:auto val="1"/>
        <c:lblAlgn val="ctr"/>
        <c:lblOffset val="100"/>
        <c:noMultiLvlLbl val="0"/>
      </c:catAx>
      <c:valAx>
        <c:axId val="17368839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0229808"/>
        <c:crosses val="autoZero"/>
        <c:crossBetween val="between"/>
        <c:minorUnit val="3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Dashboard.xlsx]Analysis!PivotTable8</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Product</a:t>
            </a:r>
            <a:r>
              <a:rPr lang="en-IN" b="1" baseline="0"/>
              <a:t> Popularity breakdown by Gender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bar"/>
        <c:grouping val="stacked"/>
        <c:varyColors val="0"/>
        <c:ser>
          <c:idx val="0"/>
          <c:order val="0"/>
          <c:tx>
            <c:strRef>
              <c:f>Analysis!$W$3:$W$4</c:f>
              <c:strCache>
                <c:ptCount val="1"/>
                <c:pt idx="0">
                  <c:v>Female</c:v>
                </c:pt>
              </c:strCache>
            </c:strRef>
          </c:tx>
          <c:spPr>
            <a:solidFill>
              <a:schemeClr val="accent1"/>
            </a:solidFill>
            <a:ln>
              <a:noFill/>
            </a:ln>
            <a:effectLst/>
          </c:spPr>
          <c:invertIfNegative val="0"/>
          <c:cat>
            <c:strRef>
              <c:f>Analysis!$V$5:$V$24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Analysis!$W$5:$W$24</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ADD4-4134-A825-E5D193D330FF}"/>
            </c:ext>
          </c:extLst>
        </c:ser>
        <c:ser>
          <c:idx val="1"/>
          <c:order val="1"/>
          <c:tx>
            <c:strRef>
              <c:f>Analysis!$X$3:$X$4</c:f>
              <c:strCache>
                <c:ptCount val="1"/>
                <c:pt idx="0">
                  <c:v>Male</c:v>
                </c:pt>
              </c:strCache>
            </c:strRef>
          </c:tx>
          <c:spPr>
            <a:solidFill>
              <a:schemeClr val="accent2"/>
            </a:solidFill>
            <a:ln>
              <a:noFill/>
            </a:ln>
            <a:effectLst/>
          </c:spPr>
          <c:invertIfNegative val="0"/>
          <c:cat>
            <c:strRef>
              <c:f>Analysis!$V$5:$V$24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Analysis!$X$5:$X$24</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1-ADD4-4134-A825-E5D193D330FF}"/>
            </c:ext>
          </c:extLst>
        </c:ser>
        <c:ser>
          <c:idx val="2"/>
          <c:order val="2"/>
          <c:tx>
            <c:strRef>
              <c:f>Analysis!$Y$3:$Y$4</c:f>
              <c:strCache>
                <c:ptCount val="1"/>
                <c:pt idx="0">
                  <c:v>Other</c:v>
                </c:pt>
              </c:strCache>
            </c:strRef>
          </c:tx>
          <c:spPr>
            <a:solidFill>
              <a:schemeClr val="accent3"/>
            </a:solidFill>
            <a:ln>
              <a:noFill/>
            </a:ln>
            <a:effectLst/>
          </c:spPr>
          <c:invertIfNegative val="0"/>
          <c:cat>
            <c:strRef>
              <c:f>Analysis!$V$5:$V$24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Analysis!$Y$5:$Y$24</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2-ADD4-4134-A825-E5D193D330FF}"/>
            </c:ext>
          </c:extLst>
        </c:ser>
        <c:ser>
          <c:idx val="3"/>
          <c:order val="3"/>
          <c:tx>
            <c:strRef>
              <c:f>Analysis!$Z$3:$Z$4</c:f>
              <c:strCache>
                <c:ptCount val="1"/>
                <c:pt idx="0">
                  <c:v>Unknown</c:v>
                </c:pt>
              </c:strCache>
            </c:strRef>
          </c:tx>
          <c:spPr>
            <a:solidFill>
              <a:schemeClr val="accent4"/>
            </a:solidFill>
            <a:ln>
              <a:noFill/>
            </a:ln>
            <a:effectLst/>
          </c:spPr>
          <c:invertIfNegative val="0"/>
          <c:cat>
            <c:strRef>
              <c:f>Analysis!$V$5:$V$24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Analysis!$Z$5:$Z$24</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3-ADD4-4134-A825-E5D193D330FF}"/>
            </c:ext>
          </c:extLst>
        </c:ser>
        <c:dLbls>
          <c:showLegendKey val="0"/>
          <c:showVal val="0"/>
          <c:showCatName val="0"/>
          <c:showSerName val="0"/>
          <c:showPercent val="0"/>
          <c:showBubbleSize val="0"/>
        </c:dLbls>
        <c:gapWidth val="150"/>
        <c:overlap val="100"/>
        <c:axId val="796573840"/>
        <c:axId val="687773584"/>
      </c:barChart>
      <c:catAx>
        <c:axId val="79657384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73584"/>
        <c:crosses val="autoZero"/>
        <c:auto val="1"/>
        <c:lblAlgn val="ctr"/>
        <c:lblOffset val="100"/>
        <c:noMultiLvlLbl val="0"/>
      </c:catAx>
      <c:valAx>
        <c:axId val="68777358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657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Dashboard.xlsx]Analysis!PivotTable9</c:name>
    <c:fmtId val="1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4738415545590436E-2"/>
              <c:y val="0.28708165366888949"/>
            </c:manualLayout>
          </c:layout>
          <c:spPr>
            <a:xfrm>
              <a:off x="1191586" y="1077307"/>
              <a:ext cx="431306" cy="414151"/>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5934"/>
                    <a:gd name="adj2" fmla="val -66237"/>
                  </a:avLst>
                </a:prstGeom>
                <a:noFill/>
                <a:ln>
                  <a:noFill/>
                </a:ln>
              </c15:spPr>
              <c15:layout>
                <c:manualLayout>
                  <c:w val="0.25381989807327898"/>
                  <c:h val="0.26005098644966024"/>
                </c:manualLayout>
              </c15:layout>
            </c:ext>
          </c:extLst>
        </c:dLbl>
      </c:pivotFmt>
      <c:pivotFmt>
        <c:idx val="8"/>
        <c:spPr>
          <a:solidFill>
            <a:schemeClr val="accent1"/>
          </a:solidFill>
          <a:ln w="19050">
            <a:solidFill>
              <a:schemeClr val="lt1"/>
            </a:solidFill>
          </a:ln>
          <a:effectLst/>
        </c:spPr>
        <c:dLbl>
          <c:idx val="0"/>
          <c:layout>
            <c:manualLayout>
              <c:x val="-5.9790732436472357E-2"/>
              <c:y val="0.12759170653907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48106822969999"/>
                  <c:h val="0.1814194577352472"/>
                </c:manualLayout>
              </c15:layout>
            </c:ext>
          </c:extLst>
        </c:dLbl>
      </c:pivotFmt>
      <c:pivotFmt>
        <c:idx val="9"/>
        <c:spPr>
          <a:solidFill>
            <a:schemeClr val="accent1"/>
          </a:solidFill>
          <a:ln w="19050">
            <a:solidFill>
              <a:schemeClr val="lt1"/>
            </a:solidFill>
          </a:ln>
          <a:effectLst/>
        </c:spPr>
        <c:dLbl>
          <c:idx val="0"/>
          <c:layout>
            <c:manualLayout>
              <c:x val="-0.24663677130044848"/>
              <c:y val="-5.582137161084530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4801"/>
                    <a:gd name="adj2" fmla="val -23736"/>
                  </a:avLst>
                </a:prstGeom>
                <a:noFill/>
                <a:ln>
                  <a:noFill/>
                </a:ln>
              </c15:spPr>
            </c:ext>
          </c:extLst>
        </c:dLbl>
      </c:pivotFmt>
      <c:pivotFmt>
        <c:idx val="10"/>
        <c:spPr>
          <a:solidFill>
            <a:schemeClr val="accent1"/>
          </a:solidFill>
          <a:ln w="19050">
            <a:solidFill>
              <a:schemeClr val="lt1"/>
            </a:solidFill>
          </a:ln>
          <a:effectLst/>
        </c:spPr>
        <c:dLbl>
          <c:idx val="0"/>
          <c:layout>
            <c:manualLayout>
              <c:x val="0.37369207772795232"/>
              <c:y val="-2.3923131020105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430775749443877"/>
                  <c:h val="0.26005098644966024"/>
                </c:manualLayout>
              </c15:layout>
            </c:ext>
          </c:extLst>
        </c:dLbl>
      </c:pivotFmt>
    </c:pivotFmts>
    <c:plotArea>
      <c:layout/>
      <c:doughnutChart>
        <c:varyColors val="1"/>
        <c:ser>
          <c:idx val="0"/>
          <c:order val="0"/>
          <c:tx>
            <c:strRef>
              <c:f>Analysis!$AC$3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93-4E7C-B4AF-96A6AEC55D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93-4E7C-B4AF-96A6AEC55D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93-4E7C-B4AF-96A6AEC55D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93-4E7C-B4AF-96A6AEC55DC8}"/>
              </c:ext>
            </c:extLst>
          </c:dPt>
          <c:dLbls>
            <c:dLbl>
              <c:idx val="0"/>
              <c:layout>
                <c:manualLayout>
                  <c:x val="7.4738415545590436E-2"/>
                  <c:y val="0.28708165366888949"/>
                </c:manualLayout>
              </c:layout>
              <c:spPr>
                <a:xfrm>
                  <a:off x="1191586" y="1077307"/>
                  <a:ext cx="431306" cy="414151"/>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5934"/>
                        <a:gd name="adj2" fmla="val -66237"/>
                      </a:avLst>
                    </a:prstGeom>
                    <a:noFill/>
                    <a:ln>
                      <a:noFill/>
                    </a:ln>
                  </c15:spPr>
                  <c15:layout>
                    <c:manualLayout>
                      <c:w val="0.25381989807327898"/>
                      <c:h val="0.26005098644966024"/>
                    </c:manualLayout>
                  </c15:layout>
                </c:ext>
                <c:ext xmlns:c16="http://schemas.microsoft.com/office/drawing/2014/chart" uri="{C3380CC4-5D6E-409C-BE32-E72D297353CC}">
                  <c16:uniqueId val="{00000001-1293-4E7C-B4AF-96A6AEC55DC8}"/>
                </c:ext>
              </c:extLst>
            </c:dLbl>
            <c:dLbl>
              <c:idx val="1"/>
              <c:layout>
                <c:manualLayout>
                  <c:x val="-5.9790732436472357E-2"/>
                  <c:y val="0.1275917065390749"/>
                </c:manualLayout>
              </c:layout>
              <c:showLegendKey val="0"/>
              <c:showVal val="0"/>
              <c:showCatName val="1"/>
              <c:showSerName val="0"/>
              <c:showPercent val="1"/>
              <c:showBubbleSize val="0"/>
              <c:extLst>
                <c:ext xmlns:c15="http://schemas.microsoft.com/office/drawing/2012/chart" uri="{CE6537A1-D6FC-4f65-9D91-7224C49458BB}">
                  <c15:layout>
                    <c:manualLayout>
                      <c:w val="0.22948106822969999"/>
                      <c:h val="0.1814194577352472"/>
                    </c:manualLayout>
                  </c15:layout>
                </c:ext>
                <c:ext xmlns:c16="http://schemas.microsoft.com/office/drawing/2014/chart" uri="{C3380CC4-5D6E-409C-BE32-E72D297353CC}">
                  <c16:uniqueId val="{00000003-1293-4E7C-B4AF-96A6AEC55DC8}"/>
                </c:ext>
              </c:extLst>
            </c:dLbl>
            <c:dLbl>
              <c:idx val="2"/>
              <c:layout>
                <c:manualLayout>
                  <c:x val="-0.24663677130044848"/>
                  <c:y val="-5.582137161084530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4801"/>
                        <a:gd name="adj2" fmla="val -23736"/>
                      </a:avLst>
                    </a:prstGeom>
                    <a:noFill/>
                    <a:ln>
                      <a:noFill/>
                    </a:ln>
                  </c15:spPr>
                </c:ext>
                <c:ext xmlns:c16="http://schemas.microsoft.com/office/drawing/2014/chart" uri="{C3380CC4-5D6E-409C-BE32-E72D297353CC}">
                  <c16:uniqueId val="{00000005-1293-4E7C-B4AF-96A6AEC55DC8}"/>
                </c:ext>
              </c:extLst>
            </c:dLbl>
            <c:dLbl>
              <c:idx val="3"/>
              <c:layout>
                <c:manualLayout>
                  <c:x val="0.37369207772795232"/>
                  <c:y val="-2.392313102010574E-2"/>
                </c:manualLayout>
              </c:layout>
              <c:showLegendKey val="0"/>
              <c:showVal val="0"/>
              <c:showCatName val="1"/>
              <c:showSerName val="0"/>
              <c:showPercent val="1"/>
              <c:showBubbleSize val="0"/>
              <c:extLst>
                <c:ext xmlns:c15="http://schemas.microsoft.com/office/drawing/2012/chart" uri="{CE6537A1-D6FC-4f65-9D91-7224C49458BB}">
                  <c15:layout>
                    <c:manualLayout>
                      <c:w val="0.35430775749443877"/>
                      <c:h val="0.26005098644966024"/>
                    </c:manualLayout>
                  </c15:layout>
                </c:ext>
                <c:ext xmlns:c16="http://schemas.microsoft.com/office/drawing/2014/chart" uri="{C3380CC4-5D6E-409C-BE32-E72D297353CC}">
                  <c16:uniqueId val="{00000007-1293-4E7C-B4AF-96A6AEC55DC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Analysis!$AB$4:$AB$7</c:f>
              <c:strCache>
                <c:ptCount val="4"/>
                <c:pt idx="0">
                  <c:v>Female</c:v>
                </c:pt>
                <c:pt idx="1">
                  <c:v>Male</c:v>
                </c:pt>
                <c:pt idx="2">
                  <c:v>Other</c:v>
                </c:pt>
                <c:pt idx="3">
                  <c:v>Unknown</c:v>
                </c:pt>
              </c:strCache>
            </c:strRef>
          </c:cat>
          <c:val>
            <c:numRef>
              <c:f>Analysis!$AC$4:$AC$7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293-4E7C-B4AF-96A6AEC55DC8}"/>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Dashboard.xlsx]Analysis!PivotTable22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Satisfication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manualLayout>
          <c:layoutTarget val="inner"/>
          <c:xMode val="edge"/>
          <c:yMode val="edge"/>
          <c:x val="8.7144940215806363E-2"/>
          <c:y val="0.1358695652173913"/>
          <c:w val="0.85359580052493433"/>
          <c:h val="0.69023308227775881"/>
        </c:manualLayout>
      </c:layout>
      <c:barChart>
        <c:barDir val="col"/>
        <c:grouping val="clustered"/>
        <c:varyColors val="0"/>
        <c:ser>
          <c:idx val="0"/>
          <c:order val="0"/>
          <c:tx>
            <c:strRef>
              <c:f>Analysis!$AW$3:$AW$4</c:f>
              <c:strCache>
                <c:ptCount val="1"/>
                <c:pt idx="0">
                  <c:v>1</c:v>
                </c:pt>
              </c:strCache>
            </c:strRef>
          </c:tx>
          <c:spPr>
            <a:solidFill>
              <a:schemeClr val="accent1"/>
            </a:solidFill>
            <a:ln>
              <a:noFill/>
            </a:ln>
            <a:effectLst/>
          </c:spPr>
          <c:invertIfNegative val="0"/>
          <c:cat>
            <c:strRef>
              <c:f>Analysis!$AV$5:$AV$7</c:f>
              <c:strCache>
                <c:ptCount val="3"/>
                <c:pt idx="0">
                  <c:v>Jan</c:v>
                </c:pt>
                <c:pt idx="1">
                  <c:v>Feb</c:v>
                </c:pt>
                <c:pt idx="2">
                  <c:v>Mar</c:v>
                </c:pt>
              </c:strCache>
            </c:strRef>
          </c:cat>
          <c:val>
            <c:numRef>
              <c:f>Analysis!$AW$5:$AW$7</c:f>
              <c:numCache>
                <c:formatCode>General</c:formatCode>
                <c:ptCount val="3"/>
                <c:pt idx="0">
                  <c:v>7</c:v>
                </c:pt>
                <c:pt idx="1">
                  <c:v>8</c:v>
                </c:pt>
                <c:pt idx="2">
                  <c:v>6</c:v>
                </c:pt>
              </c:numCache>
            </c:numRef>
          </c:val>
          <c:extLst>
            <c:ext xmlns:c16="http://schemas.microsoft.com/office/drawing/2014/chart" uri="{C3380CC4-5D6E-409C-BE32-E72D297353CC}">
              <c16:uniqueId val="{00000000-D091-4F19-86B5-B209EE080183}"/>
            </c:ext>
          </c:extLst>
        </c:ser>
        <c:ser>
          <c:idx val="1"/>
          <c:order val="1"/>
          <c:tx>
            <c:strRef>
              <c:f>Analysis!$AX$3:$AX$4</c:f>
              <c:strCache>
                <c:ptCount val="1"/>
                <c:pt idx="0">
                  <c:v>2</c:v>
                </c:pt>
              </c:strCache>
            </c:strRef>
          </c:tx>
          <c:spPr>
            <a:solidFill>
              <a:schemeClr val="accent2"/>
            </a:solidFill>
            <a:ln>
              <a:noFill/>
            </a:ln>
            <a:effectLst/>
          </c:spPr>
          <c:invertIfNegative val="0"/>
          <c:cat>
            <c:strRef>
              <c:f>Analysis!$AV$5:$AV$7</c:f>
              <c:strCache>
                <c:ptCount val="3"/>
                <c:pt idx="0">
                  <c:v>Jan</c:v>
                </c:pt>
                <c:pt idx="1">
                  <c:v>Feb</c:v>
                </c:pt>
                <c:pt idx="2">
                  <c:v>Mar</c:v>
                </c:pt>
              </c:strCache>
            </c:strRef>
          </c:cat>
          <c:val>
            <c:numRef>
              <c:f>Analysis!$AX$5:$AX$7</c:f>
              <c:numCache>
                <c:formatCode>General</c:formatCode>
                <c:ptCount val="3"/>
                <c:pt idx="0">
                  <c:v>37</c:v>
                </c:pt>
                <c:pt idx="1">
                  <c:v>51</c:v>
                </c:pt>
                <c:pt idx="2">
                  <c:v>39</c:v>
                </c:pt>
              </c:numCache>
            </c:numRef>
          </c:val>
          <c:extLst>
            <c:ext xmlns:c16="http://schemas.microsoft.com/office/drawing/2014/chart" uri="{C3380CC4-5D6E-409C-BE32-E72D297353CC}">
              <c16:uniqueId val="{00000001-D091-4F19-86B5-B209EE080183}"/>
            </c:ext>
          </c:extLst>
        </c:ser>
        <c:ser>
          <c:idx val="2"/>
          <c:order val="2"/>
          <c:tx>
            <c:strRef>
              <c:f>Analysis!$AY$3:$AY$4</c:f>
              <c:strCache>
                <c:ptCount val="1"/>
                <c:pt idx="0">
                  <c:v>3</c:v>
                </c:pt>
              </c:strCache>
            </c:strRef>
          </c:tx>
          <c:spPr>
            <a:solidFill>
              <a:schemeClr val="accent3"/>
            </a:solidFill>
            <a:ln>
              <a:noFill/>
            </a:ln>
            <a:effectLst/>
          </c:spPr>
          <c:invertIfNegative val="0"/>
          <c:cat>
            <c:strRef>
              <c:f>Analysis!$AV$5:$AV$7</c:f>
              <c:strCache>
                <c:ptCount val="3"/>
                <c:pt idx="0">
                  <c:v>Jan</c:v>
                </c:pt>
                <c:pt idx="1">
                  <c:v>Feb</c:v>
                </c:pt>
                <c:pt idx="2">
                  <c:v>Mar</c:v>
                </c:pt>
              </c:strCache>
            </c:strRef>
          </c:cat>
          <c:val>
            <c:numRef>
              <c:f>Analysis!$AY$5:$AY$7</c:f>
              <c:numCache>
                <c:formatCode>General</c:formatCode>
                <c:ptCount val="3"/>
                <c:pt idx="0">
                  <c:v>150</c:v>
                </c:pt>
                <c:pt idx="1">
                  <c:v>182</c:v>
                </c:pt>
                <c:pt idx="2">
                  <c:v>163</c:v>
                </c:pt>
              </c:numCache>
            </c:numRef>
          </c:val>
          <c:extLst>
            <c:ext xmlns:c16="http://schemas.microsoft.com/office/drawing/2014/chart" uri="{C3380CC4-5D6E-409C-BE32-E72D297353CC}">
              <c16:uniqueId val="{00000002-D091-4F19-86B5-B209EE080183}"/>
            </c:ext>
          </c:extLst>
        </c:ser>
        <c:ser>
          <c:idx val="3"/>
          <c:order val="3"/>
          <c:tx>
            <c:strRef>
              <c:f>Analysis!$AZ$3:$AZ$4</c:f>
              <c:strCache>
                <c:ptCount val="1"/>
                <c:pt idx="0">
                  <c:v>4</c:v>
                </c:pt>
              </c:strCache>
            </c:strRef>
          </c:tx>
          <c:spPr>
            <a:solidFill>
              <a:schemeClr val="accent4"/>
            </a:solidFill>
            <a:ln>
              <a:noFill/>
            </a:ln>
            <a:effectLst/>
          </c:spPr>
          <c:invertIfNegative val="0"/>
          <c:cat>
            <c:strRef>
              <c:f>Analysis!$AV$5:$AV$7</c:f>
              <c:strCache>
                <c:ptCount val="3"/>
                <c:pt idx="0">
                  <c:v>Jan</c:v>
                </c:pt>
                <c:pt idx="1">
                  <c:v>Feb</c:v>
                </c:pt>
                <c:pt idx="2">
                  <c:v>Mar</c:v>
                </c:pt>
              </c:strCache>
            </c:strRef>
          </c:cat>
          <c:val>
            <c:numRef>
              <c:f>Analysis!$AZ$5:$AZ$7</c:f>
              <c:numCache>
                <c:formatCode>General</c:formatCode>
                <c:ptCount val="3"/>
                <c:pt idx="0">
                  <c:v>312</c:v>
                </c:pt>
                <c:pt idx="1">
                  <c:v>373</c:v>
                </c:pt>
                <c:pt idx="2">
                  <c:v>351</c:v>
                </c:pt>
              </c:numCache>
            </c:numRef>
          </c:val>
          <c:extLst>
            <c:ext xmlns:c16="http://schemas.microsoft.com/office/drawing/2014/chart" uri="{C3380CC4-5D6E-409C-BE32-E72D297353CC}">
              <c16:uniqueId val="{00000003-D091-4F19-86B5-B209EE080183}"/>
            </c:ext>
          </c:extLst>
        </c:ser>
        <c:ser>
          <c:idx val="4"/>
          <c:order val="4"/>
          <c:tx>
            <c:strRef>
              <c:f>Analysis!$BA$3:$BA$4</c:f>
              <c:strCache>
                <c:ptCount val="1"/>
                <c:pt idx="0">
                  <c:v>5</c:v>
                </c:pt>
              </c:strCache>
            </c:strRef>
          </c:tx>
          <c:spPr>
            <a:solidFill>
              <a:schemeClr val="accent5"/>
            </a:solidFill>
            <a:ln>
              <a:noFill/>
            </a:ln>
            <a:effectLst/>
          </c:spPr>
          <c:invertIfNegative val="0"/>
          <c:cat>
            <c:strRef>
              <c:f>Analysis!$AV$5:$AV$7</c:f>
              <c:strCache>
                <c:ptCount val="3"/>
                <c:pt idx="0">
                  <c:v>Jan</c:v>
                </c:pt>
                <c:pt idx="1">
                  <c:v>Feb</c:v>
                </c:pt>
                <c:pt idx="2">
                  <c:v>Mar</c:v>
                </c:pt>
              </c:strCache>
            </c:strRef>
          </c:cat>
          <c:val>
            <c:numRef>
              <c:f>Analysis!$BA$5:$BA$7</c:f>
              <c:numCache>
                <c:formatCode>General</c:formatCode>
                <c:ptCount val="3"/>
                <c:pt idx="0">
                  <c:v>224</c:v>
                </c:pt>
                <c:pt idx="1">
                  <c:v>247</c:v>
                </c:pt>
                <c:pt idx="2">
                  <c:v>250</c:v>
                </c:pt>
              </c:numCache>
            </c:numRef>
          </c:val>
          <c:extLst>
            <c:ext xmlns:c16="http://schemas.microsoft.com/office/drawing/2014/chart" uri="{C3380CC4-5D6E-409C-BE32-E72D297353CC}">
              <c16:uniqueId val="{00000005-D091-4F19-86B5-B209EE080183}"/>
            </c:ext>
          </c:extLst>
        </c:ser>
        <c:dLbls>
          <c:showLegendKey val="0"/>
          <c:showVal val="0"/>
          <c:showCatName val="0"/>
          <c:showSerName val="0"/>
          <c:showPercent val="0"/>
          <c:showBubbleSize val="0"/>
        </c:dLbls>
        <c:gapWidth val="219"/>
        <c:overlap val="-27"/>
        <c:axId val="1220644064"/>
        <c:axId val="1747829664"/>
      </c:barChart>
      <c:catAx>
        <c:axId val="122064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7829664"/>
        <c:crosses val="autoZero"/>
        <c:auto val="1"/>
        <c:lblAlgn val="ctr"/>
        <c:lblOffset val="100"/>
        <c:noMultiLvlLbl val="0"/>
      </c:catAx>
      <c:valAx>
        <c:axId val="174782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064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Dashboard.xlsx]Analysis!PivotTable21</c:name>
    <c:fmtId val="12"/>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a:t>How Long it take to shipment</a:t>
            </a:r>
          </a:p>
        </c:rich>
      </c:tx>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Analysis!$AT$3</c:f>
              <c:strCache>
                <c:ptCount val="1"/>
                <c:pt idx="0">
                  <c:v>Total</c:v>
                </c:pt>
              </c:strCache>
            </c:strRef>
          </c:tx>
          <c:spPr>
            <a:solidFill>
              <a:schemeClr val="accent1"/>
            </a:solidFill>
            <a:ln>
              <a:noFill/>
            </a:ln>
            <a:effectLst/>
          </c:spPr>
          <c:invertIfNegative val="0"/>
          <c:cat>
            <c:strRef>
              <c:f>Analysis!$AS$4:$AS$18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Analysis!$AT$4:$AT$18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C71-4BD0-8F38-A84A0C4E829D}"/>
            </c:ext>
          </c:extLst>
        </c:ser>
        <c:dLbls>
          <c:showLegendKey val="0"/>
          <c:showVal val="0"/>
          <c:showCatName val="0"/>
          <c:showSerName val="0"/>
          <c:showPercent val="0"/>
          <c:showBubbleSize val="0"/>
        </c:dLbls>
        <c:gapWidth val="219"/>
        <c:overlap val="-27"/>
        <c:axId val="798971760"/>
        <c:axId val="687773584"/>
      </c:barChart>
      <c:catAx>
        <c:axId val="79897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7773584"/>
        <c:crosses val="autoZero"/>
        <c:auto val="1"/>
        <c:lblAlgn val="ctr"/>
        <c:lblOffset val="100"/>
        <c:noMultiLvlLbl val="0"/>
      </c:catAx>
      <c:valAx>
        <c:axId val="68777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897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colorVal">
        <cx:f>_xlchart.v5.2</cx:f>
      </cx:numDim>
    </cx:data>
  </cx:chartData>
  <cx:chart>
    <cx:title pos="t" align="ctr" overlay="0">
      <cx:tx>
        <cx:txData>
          <cx:v>Where do Customer Live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Where do Customer Live</a:t>
          </a:r>
        </a:p>
      </cx:txPr>
    </cx:title>
    <cx:plotArea>
      <cx:plotAreaRegion>
        <cx:plotSurface>
          <cx:spPr>
            <a:solidFill>
              <a:schemeClr val="bg1"/>
            </a:solidFill>
            <a:ln>
              <a:noFill/>
            </a:ln>
          </cx:spPr>
        </cx:plotSurface>
        <cx:series layoutId="regionMap" uniqueId="{167099A9-D565-4319-9C2E-D50CB044B266}">
          <cx:tx>
            <cx:txData>
              <cx:f>_xlchart.v5.1</cx:f>
              <cx:v> Amount</cx:v>
            </cx:txData>
          </cx:tx>
          <cx:dataId val="0"/>
          <cx:layoutPr>
            <cx:geography cultureLanguage="en-US" cultureRegion="IN" attribution="Powered by Bing">
              <cx:geoCache provider="{E9337A44-BEBE-4D9F-B70C-5C5E7DAFC167}">
                <cx:binary>7H1pc9u41uZfSeXz0E0AJEDcun2rLkhJlnfHTrrTX1iKrZDgAi7g/uvnyHbSFiXnpataNTWaUXdX
V0Ie8JAPcHYc/Puh+9dDsl6VH7o0UfpfD93vH8Oqyv/122/6IVynK32Syocy09n36uQhS3/Lvn+X
D+vfHstVK1XwGzaR9dtDuCqrdffxP/+G0YJ1dpE9rCqZqdt6Xfaf1rpOKv2La3svfVg9plJ5Ulel
fKjQ7x/vqlW1/rj91/j3j25Wq6r/+GGtKln1932+/v3jFin++OG3//z7tzc52/v0Z6b3XtrmABhz
V4n8npVKrna5u8wes4cPE3ncZnHni31I4KNW9SO8oIVOLG5ymyPKn37044ckU8HLZQNh88S2sG1x
RH58mqtVCpSTGXp699XjY7nWGl756f9j8q3vDB/iv//TB3jYgLWZEgHMjt8/flayWj9+eEJWf/wg
dfb0pcrezTZv+fluH3Q7WMKH+j+Erqirav3Po0v4iY0wsUzA7+nnjNFFJ7ZtUYQw2kZ3MkP70d0m
n4DuNsGRobtM83UpV8kBAMYnjGPHtggyn36wSLeWL7JPbGrbNmL06foI5vdwth/pnREmgL1Dc2R4
/zcBCfm4OgDc7MQxLQc7lDyvZzaCG+MTzLDFKOiqZz32LKzfwdF+mMcDTEB5THJkIIOyXjXrcqUP
ALNzgjjFCDP2vKoBza1VDUqZOiYHyQ7q+jXO72JqP9K7Q0zAepfoyND+b5JLdQgN7ZxQTmyK3tLQ
iJ8w+Nk2s7ahns7RfpxH9BNAHlEcG8Lp6jErD7KYCQhkEzsA4HgVM4YxJybfp5v/O5mhNwDepp8C
8DbFkQF8Xyer8hBLmJ4QYoKj9AKjCTbWFs6whDF3HAfZIxdqOkf7ER7RT0B4RHFkCN9lKksPYXY5
JxbhlDP8oo/HVjaYXQzZ1LI2a/y1Pp7O0X6ER/QTEB5RHBnCbpbU+hAIwxLd2FOgh9+wuPCJaTqE
csveRng6R/sRHtFPQHhEcXQIQ1xng7CuDoGzc2Iih3NC2BsBEXyCiOXYDEGo5PVKdrP38fUW2ntG
mYT5HrojQ95bJx+uMgj//vM2GEQ5mW2BsbXBfvPb8ZstWP8WAb955Di/i6n9mO8OMQHwXaIjQ/su
S1Yq++ehJs4JtpHlMEaeJfnYGgNdbVrcsc2x7zydo/04j+gngDyiODKEZ8kHLyvBqToIyAxzauOX
MBjnI5MbAiQg4GEa2HvDnu9ibT/au0NMAHyX6Mgw/5olh4GbMmZxyGOMcQbBziyGEB0Ftqcysh/c
LeoJuG7df2SQnq9LdYAVbJ8Q9pSYel6g+5zmjaWGCAZd/doQm8rPfmS3qCcgu3X/kSE7h4zsQVQw
PWEEQdYJoWdrayydNzFNx4Z/0MiZms7RfnRH9BPwHVEcGcKLZK0OsXghrYxNG3G8Uy0A7hN3ECP2
yI6ezMl+YLfJJ+C6TXBksJ7W6bcseaz+ebFsgd3kUGRZu8haJ6BkiQnJx+dFvS2V38PSfoh3RpiA
8g7NkQG9VP0hzCkKWWQMKxhMqh9YbgesN/lHTinErLdRnsrPfoS3qCegu3X/kSF7t1IfPLkODgHv
UzCa2VAXMrKWEYM1TBzkEPsH7q8tq3fxtB/i3SEm4LxLdGRgn0N94yHKBCDxBCUC2LJe4NxjZ1G4
BsVdYxt6KkP7Ud5+nwkIbxMcGboXq/gAIUso3YOAJGImpIeffjs1IPiEIxtRh41qQKbysx/bLeoJ
0G7df2TI3q/D1SHyiWBlQT0eNW38hoO0KeMiFoLCTMgqw28U3JjO136MR/QTUB5RHBnOFyut1wfw
kwBnCwp7HP6Momnu5I2hjgsuWw4dCejpHO1HeEQ/AeERxZEhfCd1LPusPoDHBBFIgmwH/yjJHCth
WMsUCrxsk46qP97D036Ud0aYgPMOzbEhvVKQOBar8tvqKY1cT9nTMX2/BLFOLGzCeuVviG6IbVHu
gPCGWoGn37YHBbbu+9h7A/m9w0yBfy/h0c2BhxIqsFV1CO/KObEZlGxaUH/79NtJJW921Gz+gej2
Ht19t3oPb2+hvzPGJOh3qI4M94tMf/ivCtbJ+hDelnUCBhsmzg9va8e7hsyzRaDWE4z2PcC/k7n9
yO8bZAL0+8iODPvL1SMU4//z+p3QEyjFh3g2e6kM26knME9AtUPlHwLN/zqcMp2j/ViP6CfAPKI4
OoRLeQAjnbATziwb4H0pJhivazDgbII2Kn8UDb1cTWToLXxfk0+C9zXBEaKbZwep7WQnsDph/Tov
bth4BYPJxqnFHKju3WeybWCeytnbSG+NMBHsLZojwxu26iqpk1V9CFXNwK02IQlJ34qdIajm3Shr
NlrS7+NqP9p7xpiA9x6qI0P8JqmhCcABNDQsX0IZFIO9uGQ7Frl5AiEW2ONORuUG0znaj/SIfgLK
I4ojQ/hyraBJgTxITQk/QZtsJWMvG53HQhwTqOBllJBNbe+WGfYepvbjvPteE6DeJToytO/BGoFG
Gf/8gt4UIUBiC0yylxDKzoKG1AfUAkKIZRwYn87SfqTH7zQB5zHJkaF8CXuq/nmIn6q0bSg1eSkm
2SnI3+yZw47DwSQbLeeJ/OzHd+ttJoC7df+xIbsuH6Bnijut7c07QqTshJiU05/g7jhUkBZxEIc4
yd4I2eVkvt7AeJt+CsrbFMeGM+xcWpfrAwhqiI1QBpXZxHxrXyQ6obAtkpJxPwpYV5N5egPl8QhT
cB7THBnSV6v8EBEwiGvC1lcLykie4pq7WUzIVkMS0wQHe1tWT+VnP8Jb1BPQ3br/2JBdN6uDNJQB
NUsxc4j5Et3cyVCDp4xg06vFR1UmV5M5egPdbfop+G5THBnCX8BnqQ8SwIatjQ5sXTbf2vK6MbU4
9I+i5igY8g6W9mM8HmACyGOSI0P5Of3rlvVwALsLMhUMiobMH638duwu2PkINjX0qRit5fdxtR/r
PWNMgHsP1fEh/mFertSD1A/ZD/X4ZnPJd1nZDKBkUKP9HLTeU3cClQpQmUJGHhR88785mjIN3wR8
zzDTMN9DeGSwf5LQG0zLx0NUhpIT7pg2IS8753a3zoEDBp3DoOp3hPy7mNqP+u4QExDfJToytK9h
gQeHgRoKjSzHoW/074SKfseG/lF0XCI6naP9OI/oJ4A8ojgyhG+S1cP6MN3BIMi1wfi5B9iucwUG
ONu098Q/xfzr6PZ0vvbjPKKfgPOI4shw3ihHsYa49iGCnrDvyobmFFBN8hPLrX1XGErHTGzC/rtd
A+0dXO1Hes+bTUB7D9VRIl6qVfl4mMwVbJwE9ws2Xb0ko8cuNshwDNETkAI/zMPnnq3Pn/49jP0K
+J1xJoO/Q3mEE+ASOsIfYsU/lZ4wBpnn5xW/J5MFaQ7IbFqjTNYG/MlMvY379hATId8mOkK0z7JV
UR+qlgzSlhYGz+vpN17rIOExhw17nD/H2/ag/g7m3sZ9PMhE5Mdkx4a9XJcHCbFBPwRqEtga/5zQ
2jXizBO4CNsGoO3U5jeGfTJfbyC+TT8F7G2KY8MZhOdFLfWH629S54eQ6zbEVDGFwDiEYF4A3bbk
YGMXuOdwrsIepf5O1t7A/I13nAL+G6RHNgvua2gWmh6kaTeUDDtgs4EcfxN+kAYIOXi05+s9PO3H
fWeECYDv0BwZ0mAsbZqFQnvnQ6Q/IZoGmzpgG/ZLoHUnrI5ONs2dIUc2Ki98J1v78d43yATI95Ed
G+rhSm9g/6frV6D8DJrtQ58M8tbpC/gEmmiYDmiAkcc2maM3sN6mnwLzNsWxIbw5FekQQTcoJiUY
wwEbLxXDe5Y03XQR3cl6303m6A2Et+mnILxNcWQIf62/HWAFQ+8MBBvvoUHZWysYjr2CvhkOrPLt
FTyVn/3oblFPwHbr/v8LkP01i1svvDnN7r8/vu2edOfTeWzvynbCGXSUwq7r/RbXZts1gv78gPtz
pOXHs59jaXA+zc+T9Z7D5/t42o/qa9qtd3x+xV9/lMOcRPf2KXU/z/rzVtVq9nSS4b6zE/defXp9
OHRxdPGlmn7PB/tZ7rV8/P0jFIeRzR66V8huBtqqxQer5Dmq9QOdbcI1KPTfP8KZg1CoAAYVpZSB
g2VRGLNd/7wEXVMQtsEgg017G09bQc/w8PePsI+PQXc6qCne9PyF7pJApbP65RIyGfRSgZJxOOgQ
CiR+HjB5kyV9kKmfn+3lzx9Und5kUlUajkj8+CF/vmvDrW1C2TK01nKggRrkWBmk2OH6w+rTpqUS
fIX/peu2LlLat9dmdlMG1qyPmPfqo+x5AnD66gmbGAHsZ4GOEWBRQptjaCCy/QTaspjUrK6vtRWd
SfbFMK+5fautU+TftM2VRrNfPw96y/wPT9xw9OqdcOeUckBJfR3ltSGcPqi46HWGU5EFmb5ty8w5
ayo7v6Kx7QtN5zTqi1nhd749q9KKzaJA0b86iH0tKQkb0Re55SGdEUGc8MLOki/KwbGbl+ZjY8Tf
eWf8qQZAAGFLsMyKRBTAWY6qT2xBcOjMysRIRRrI4NSK6UL3iZzDCUlkHuQyW/h9p1zZyUiwsiZC
DWYpfCzvjNZx81p+cprmnNskE0w2F0bhA0qRFKnv5KJoK8/qiehpe+v7SSt8g5xmGbppQiLg2LWl
Mmsp4ig4zzgSNTE+lwYKRKP+agZy07HwtGGDnqFKL2RlLazcOQul3YmQZu3cyEu98MP+MqvZcMcq
k5eitHut7rIipKe0yN0IqeK0oKFR3Q65BX9Rp2WXXSeBdVGZiF2pdLBPLV0NXlqT4ltsOheUtpeG
lV7kTC67uL0suX9lmPFVP9A/UMKpKAyDCzjxYF5i+WDZ5mNiZPasta3LLrfOfEy8Js4vKr+d1XW/
7Im8MYfCVX7hya6/aPvuonbKzKuG1HQDuz3XjflHUeOZZWWBSNXw2U66QPhpH1/JWt2ouFrUTnsV
D/GZmcVMdDk1RVyVrSg6RwndxKaw+mSmI/a5qPpSRIYZzHGa18u6bqtF4mN968iiv0j6zJ5rB58n
6SM32msrdD7pukQChUklwrCcozw98xN5Uyvjrm3UPDQAlqxLZo7kgqXVIwvrQSAa3eKgnfE6rUXY
IQ8al3pW1N9WdRYKnTcuba1FWzZz0/K9ijoiRaaXZdndoKyb1C8Kt+10I6okbj51ffiJ+mhZtrXn
5M6fVqzcjtnlfW4axI1k+V2RBmYTX5BWiWHwE2GZloviZm22wbmqqVdYKHJBgi1xGlGXEDmjRiuQ
H9yEsrm07Oi0sNNFZ9qzhCm37vxzrbPT0m6EHirP1sYV6DgPt8YSBMVt7wSV8KWpBbH8ecHJF6vU
LoYV4haxaoWyk/40bu1kWSZqnsugFqQ3zmI93Ou8DUWfVFeyzO6ixvSiqIFp7UfcrR284nW0iphz
mRVJJLqojd1Wl73wdZu6tt84p09i5kUZvci1Z0n6kOV9KYPw5bTen3/8z32Wwr9Px6z+/Zebw37/
/tNinW2Uth7ftHnOz7v+Pqp1o2R+nts6Ul3bh+++5+K7lB4CFQAnAz+bMztK78dpl7s6b0P3Q+ch
aCwDPocJPd1AsRALJPQPnYcoZBDBuoEQMjSVAQvnb51H4GAicFNhNwUQMjii6G+dB22HELRYhh6f
xIHtzXAy0Q8Ot5ACfb9HI6HNVslXOsne7Ka1oP0F6HjodASRkI0GeaUhWFiUqjOK/rIjeY7mCEQT
u8wZyf3v5jAo23TLyqyyXBBpsuE0o3EMy8OHWTWj1Io/+ThsPUf57WmJGtYL2DLwEJhauxn3VyWK
72I/Tm/6OA5FMVA8JzbIXdhAoi8zSr+HuRN5cQr6CCkt52FdkxnTspxVoCxFkyL7Yqh1ujRUUhUC
xbHq3Y7q0I1AsVzlJiKikfwiolV8zimcFg0ro5+XNs9FVcSpSFIzd1OOSkETxK+spj+LbXnhZJV/
nsoknscGj0XACXYEhAUSkcZ2P+84Cz1SddgtSBeDCGC5V3SgqwqnVp5pGV8Tiq5z2qkzkFP3iIam
56dW5ilJczfgvXFVRvShVUkqioyhRWZH34co+ou1UqfCalC6bH3mX+QgzD6XaeV7RRleBppkyzqM
1lUw4K+4DM3bIamyeUOTwmM6wVL0WVgAu4qfN4aPZrQ1jTMr78wLG2yehQyxLYKyphclY7dOEkR3
KUqWbdjfG7mtRGYpa2E62S2jaSS4Xyp3Y6Z5YdZlyyFmCCRei0TXx8YFCutUsL4M7a9NHixz3yTx
eeX3qFoEqdGHiRjKkpbXIWDX4DiWlz2ShS2MAORh4UYwEncdblTXucMLQ2DMDHuZVz2+N3CdyCVu
4uGsbBS/lk2fFyIbHNBLHD6Cf839LHBDGfPvDeLxBc64h4J0uLOaEnXPRtn/l14mmPFvS6+ng5l3
RdeG6IfogqQm7LzddL0yN1EVClGxH6JrY8mDT8aguIERCqvjp+ja9EAEBx12eEL1GvTWeC26NgXp
oB45tm0C+31B1rxDdIGFPxJdNmwahvYdDnDHIGa/4e+16GryTtsqCMm17izTHbpm2fZW4aGIEFHS
Yp4RXIuy6v9geCCeDqyHkjgXFe9jzzb9dB51vrWoyvC8ajNTKFNdGhGYnM6Q1x6YDVddSbVn8RLO
JM/qbz1XX0MZzPo0+RRb0UL11Rkm+FOR52DmFn0teI61KBG+UCBFRGCwzzrmmZvwtDodWv/zkEV/
2EHIRJYNnUu79NoOyDVq6YwX2RlLimVsD2Q5NH7p1jF23CbsFkE8zLCTf7fy8FPdBvaZCvwFKOlv
juwF18OXTqeZiHGKwcKOY0GtVHkgvV2zy2qX5eGXFtV/xV1juWEcnuI6UyLXrBRpSEpRNRWY3Dm5
itPiLIktItqy/F40IUgBI6vcIXGuZVrmbhsU15Hd5GddWsXzWvqBx9IsFnFYBi43A/9K08z0Ql4P
YLlaw3cH1vdVY7GHQcLHzf00vMV+b4pQl+sQTOjLKEuWNjcwmPh5vwiVdq617NIZYy2gVoeWKIMq
cOO0a8GLUKFoIkQXsgGblZYNWNMdC27NgKDFkEeBKAIJ0luRQJC2zYRMSTAz+yQ6JQTMSkNKvIjC
ZHDJYIGO6myYAll2mvo+8lDXm4vEAv1jmbk/t1qSzEAo40WVkXSmSHQB1v35UEXXsULLqg8GT6bO
d3+IqIhYas0MLYnX1300Qz7rF3EdJDMzCh34EKifsbLgiyqigYi6sl5wDBZpGpS5Z0okP6mWOYs6
t8MZ1ApGp6bp+17TJERoQoxbUFqWSAd406KjVEhq0rkTGJUb9a0D2iDIZ0ZaIxGDAD6ztW4XAQ7v
e6xv6tpUs9BwepFVOXSd11rIkNrgwXHrLOeaiAD1oFCGzSeSWP3Vajv6rEKJhA65Ou1r5QvcBZlI
fIWubScMRJgPvpDw3QUpjfrUaZkUYWuBQc1q+RinkgkzYv6sAQ1xalbRvLaTme8rLtqU5iLlqgRb
l6TCsaJaGFHreGWeJi5tIno7oO426upPtE3jmcYRkm6Ck6sY9v6d2nHxvVLDtwo14bzKUS0SnpSX
EnXEJR31krKgS3Dd/QtqsGbh+Mr6hI36i+RZZXhmBab4IsQdQkLW+QOY1DM2GLHwwygR2gmLhSH7
e2S0aN6FAXXNhp+pFNNZ2/ZI8KZewumFvcjZMLhVEsykUsaZYZmnkpDPjY4qVwfhfVpEZyxSNy3T
rmGwS23/5TN8Xme0+bOPk3VLq4vOMgyhShR5Tlu3F7Vm6pTzKhKylGCHxOYFhqeFeXjeNNb3Inaw
i4bk0mxNJBrOvgyOsoSMBkdUOn3UTG8cuHSZgU8ElUoXtS1TNwsb4qnUyRaxRI3omtD2uj7rwFJi
TJRwu9I4d5km9rzvAUJUpNe1Edwlnf+XmdVfcwvEg2Pmjcfi8ly2aNXFlM50TAK30VkwRzVaIElE
EVvlrIk0FmxAYGzp5lI77R81hEA8Zlg3vGOOyFKmlo5tw52VGYk6Tho3r7LzOjJPE6dRbgPeT2Rm
xbXkVS+iJDKF0XGv6uCYE5/Gwm6k54eYfo39OrVnmeouFa4eMostVW3/mfipvZQpElE5fOtQU4o6
607hpZN5iM0aXMLBSyi7CiOQMjwDS6Rs3ZgbmWgydGoU9LRvCy/CEHYwZHsLAaSLBGvi+jL5Vjn8
lClyhYJ8YVjFImhDDzB1uwTBn+1V6Ejpall/15LdJBCEmDVZv6xSK5zVLHENK771U98AXVC7CenP
wyq5TbnhIRneJ3EwC6k6ZXWivDqV94ms3BrTUihfM5H2w6nvoAuZgI2mO6E5dgk2136tegF6zOgX
4GFr50amceIGVH0yZVk+B5D+H7ONXls5NiyDX5lFr4PCzwHlp+DgE9UPuwhcOrRpF2jCqYL2c0Dy
p10E3t5myyW0KXK2XToLLCZw9eB4900kGw4sBJPpRxgTQyMyGBAsGQeSk3A40nvsoo2zueXR2Rza
S0P/cAr7twmUrG08vlceXTWQLC/qurtSLeGzpvXDXGQkYrEbs7a5pYbdn0Vdo+KZacbV1yqzms+x
pbsC5pgq/nj19fY5mFAJOeYGamChnT34dNamtmabG0v1eczDurnChUJXYM2AWqlZRkO3a6qMi6a1
6q+syQ0JosmpCreIyhik2qCZBf4DU4+8qsxrGCOsPZwk6PNgGw5a9NT216g3UDf/Ncd4O2YK0Vnw
qiFMC8FgMFYh8myOOJYsBGz76op0dhB4tBuSzw2cPEjmFYPAlmj6DuS3ZL4jBkY3OjQ2ySJtyh55
ZZNVj2GnNXIluFyermQG8ac0NBsIatqw5IMsCm/imp+lmofag0QX/6LD4jxOWrubSW3QS1mGTbr4
9VvtwgCbDUwGQFCYG+TppV9NCtYbQWvkib5Slc+/ZIGDsLBiDFMjV3V303Ylv8t9lPz568fuRBfQ
xkZnBI7ghRQCJhu2Xj3WNrvAynWgrpQzoCsUh/WV0qUrHT/88usnwfLZmmfQdYJxKLKHzALUbzFn
NM9yZfUDONHZlZOb1qposzJZ+JXTYxHn4cws6o3tZ/ZO5kbEbtP/adJsJsXr5AG8Jd6cvWIR8ENA
OoweD70UZBioVF6xIrZXaVTbqzjZ8GAPqZ7RMstEbwL0ixbUBAbNmbF1lXC9bHlvXXSUlKZL2iiL
3Yip9DMpc4jvhk7fr3OjAVPRGFLm2jyzylOb0KEWv/56mwO6xvyzjdiAQBSGA1WtUaLApLWtbNs3
LlHtpytZVmBZICOuwNwgfa+Csxbc8W+Bw/OLbijCOc2sTroYQj7fKzCLMrcPA+ZaWdSsZUnYY2Pn
ITv7NZOWvQMyWIcwiTbtg6C2GhID29OJlo40y7AilxHE2H3ueBUPh0VXdYTPq6au3bIrzNsm7W2I
F4chc0ukFhqXOZj3OXbjpEg/5YmddoIlbfBHG6XZstdVJXK7yD9THTueXyjfrbMIMguyIhFkEiKt
rtrc0NeFMZBZECAOlsLgq9TFTZie2rRKPuEouAl6RTqR1Ky4qvzivsKpQTzaYPiQsscgG6x6GITZ
OtFFEtrOV9+srbOQgo4fgq7hbmuGFlhvSS+XhlP2qWh7Z/BQaxveEHUPuS6qu9o0WAjWdMXmvi7q
peVjfF+EqI0XPjOQFEMY+9+g5qlshFSF8VedstTLc42XYEjnS1Tw5FE2OVjjOUnjO8n9DuJshRWc
lX5Zuz18hwWyML8u2rSbWW1ZzBECq2qWwNHKYP61gVO4DQ79WapJ6dU5vw59IzA9hLLqFFQNbl1l
gmPkVCz5s0vN8ByXPL+zSWUvah4ZeK5pOqwcmpUzbXbRMG9iJ5gbXWeusE7a7zrIc9sdcAW2mwpw
E8y7KspgcbTtrA+a2pmXmR96SUXSUwW3ChDnkOagTdowEekoMlzmQ/CQZXY3CKtKfJdUhkoXJY1n
gVX35m1LkOVJXZqJiGAmVXNStVwvOsK6CxoPQ+Lf1m1RpanoZdKr8jEE+xMPX3VrdCwNBS9BlGcP
uE+jCpzouqrr3Lyq4iqNuzMui2HR8Lryl2kpZS4inGR3JjPIMuoJqd0aMPDBDzN5B3CljuMp3wd9
CFmKtpjRuA0g5ppUyL8OC5Oy7DTuGdidfZfw6oLqisCMav0M6datQRfOqRFG/nUDS4cGbgGpDZhw
JNbpXCWy5CIpQHn5s66R1DV8SMSDD+ibyoKTusF1cMFjb/15m7AknWkfrII5xFTSwXUGGySmwrFV
u2lYGolodB/oGy2NNJ1lgXS+G3XDpOmZGYbQo+XUzpVt+IF/pgirmB25qtPF0J9qaLNbhrMcIh/p
zNfNUMx5qZWc9wlN+1OIFae5a2PIBbqss/tkUcpCGi7Aiv8w8nRAHmyZjVMP/jONa3APDA2fXKk/
ojTl6ZKUvEpmcVjRT0NdQbosMjKMzsM2BOdKsBCH1cIvm1zdgTImZxHEViGAASk9NcvAmRtmDuoG
CFVGfd5epk4PU9uApVJ6PkL1WUlsO/ECnwTg5KoG4JRMg32ihogM6yQmnHoOMJB6pE/DYolMaZ0G
ksXUhWhMQTyZSd8bah8iQkZb5vwm8tvIcoksokGkeTQY56afWJAR8wMb2OUsn6E+HLIluOJtMIu5
FbZic59AXHJIKxUBKdyulcYgqk4af5Vw2FhvCAnrCF+hQclBCqexDHLfJy2ur2jOewhN86K6tGsF
KinQLAYCnhL4Wr4MkfoKOWIVnhUQ2+rmurUHeY6qoLq3Imyv7A58GOEgmLzzWnWMzDQdJDBfoyj1
ElLE2nVafwbRjOJr0rZgWURB1Nxpm7bf8jIkkFttA3/mxLaJhXJ8GMdOsqibq7JBV0OXE+tWVza6
R5UBd7TU0I5boZ51swYybfK07DBul4oFGl9Lg/Evyiw2kzOKCr1giQ71TddbleOaRQvYhK0CxjIN
QvccNBj/QhwTZncKUrL0IOUCwe5Kcx/fRGUdx5+wo7i17KyorS+rrtoYn2Hf3dixQbtZ1qbwaAjY
DeBJ47QaFmbMNi+/Yb0F+QR85Sm6smwFb1FD/s8XYZzFg8vjBpZOngSxvFUlgyVf1mAVBHANZCqu
VHhdIKsvlSB5aALcbdnVl6kR5hCpMeuim3fQnonM+qbAG6EBi8mFNwIB0nG0sZMrlX6BLDA/cxop
IX0RQpTE7fqArlpFgI2ujPpPkMUw9XkAZm50nuUqju4c0BYLrUx0VfCg+AobF2khQiuU+CxzAl6f
+2EWNF5fsqIFA7cnixzDZ3VNVvQPcRLbN12tzey0MPsm/qOlaaAhjGak3/uBb2SILJLQAz/AITOJ
+1DPc5ryP4xNwDVt86CA5A+Iub5sw08yq/Q5T+MIonG4xAGIPTjtXTQh5l/KyGiCWYIVLJPB8Alf
WipDxToFgdyfwVGVsDbajcSeRbYBX7RrhmYGSqYtzlEJbrTr86RqQNOSxgTTu4j+KnnD740ezPSz
gVcleqy06jXEBxBrlrLFMFSXonBwrTagkPEAWFrXiDmdD1nTVJddzxJItupCOEyfWmkHQcihpQBO
bCI9LPIkzrJLRTvrwqhMK5uFhUqb86Bv89B1bJ2G92CJ6EeTKxAjIDohDhiHutWCt41TgBboi7sk
KJD8E2UDcRoxgAXWf84rYnAYTPvlLGRGHJwZft5+CwPTaNyEaRovJTfRbacNf1iUdaHlTA41TFKJ
qwiqG+Lkf7P3ZT1y22i7f+X8AQXUTt0cYLTV1lW92b3dCG27TYmiRImUREm//jxqjzO2M5lBgO/m
w0mCAEE65epSie/ybFr9CwA4IeK+m0hw9uzSm5MF043OTNnhWzO0rVis1rBB7dBaZEDWZpVOwqFq
t9Ied3/tzSxMF2C4Oik6HfSPxl/sD7xUuNfQ6aIH3OuNvmmj1kaBdbqI57QpAxPP47NDR0M3mHIK
P/pO25vU+Gzwzl4BCOiuL3Sk0NxxR2dd5eLbxOIA/ULlDrW8ClVXujfOTERwKGYZ4XPNs8XOtbI6
kza6QM3ANDYOZwEsCGtkVLNcl7QuUzMTclh6D+d+AVlRxV5Rhuf3qfR/GiM5V5+V1PLr8Cv9/SP7
/X//93HkBKzLn7NM6Zv4PxfouN5+xGC+Kcq2F35HVBDy6oPmBhmO1JN3TvtfTBNijiJIejG+gJz+
kSTfEBVCoKp6f4Y4eRc//RNR8WwouQkWQpBWLkTfjvNXEJVfdyOEGm6aUw/YDcRpyOH5eesYipFr
sbbOTQtgkdTVVcjqxJ2W7Icrc/NtWfxRfwan0U9LGD4JdMuASfBw7AjLMgbqn98IY3QNnL02N76P
Qz2ganuZv47HpsJtLR1WY4QIgR4O8jpaxqu+7j6GDqb2Tg9zYjCMZjUY99ME/jt1ZYSNchmq2PI7
tDSjnozuQIbTUsXlRhCVWtx3eMPE6cSNJFUb22GL4987fUpRfBMX3AbIB3rqmzmJQI0lLepcGvkB
SJW6zYtgygE/Dem4Rnaq6xkIufdoQT8QeSOkS7b7VHpCJtPs32Otu7Oa+WJZ/mWogIYQA8AVIMwB
ZfliioZloOk/FoyKmLBpSp2yKuNxGm5R3XNgRI8RVW8OC19YszyrtenjegzbFNvSja+KU4DKlYeh
vw9Aa+90qfANKfVRBmxfUY8loixPICQ/taas8wmqACwMCxgGOXepNW4shyfb3B7WF7tppmT1+LVH
VU435ZrVuWkf1C9jaH9Ump3lDDmStJe7sB93eFznHu3CApWGkdt4bhWjjoFsc/x7a+lE0gw9TcLo
JRqajLhzOvag8PXo1TFuiJQGbojvj+/qcPxKF13FJPDP1jT6B9KCyetlkNjhcnEM+v6ivdiUdpXX
trhBm+W565rd2nhnxgoWD7a3iyZc29JAbWEF/pR2ffTSok+B87yT7bqk7qofqsBeE4aSG7uDuNdm
PNh+PaXKJZ8JVJUxM8uDqCofC9F67cxtAEaIT+gO6ostnC+OEVilZ3svRXSAadZOamN2oDxvG+zP
M7C9q9Bd2yQQ7eeVd09lCL1GE8gPwVTz1OvDem9GdweeL3HcIgejgeKPW6yMZ8+U6Dxl/9pyyVS+
UmtYEj+YVWyTua6gP3QUxg0MEJBhhCa3qdnoCzUfhfB17Cx2QjaJl+d+MSQ6VL6dT6tUMyC6bnqo
fXcjWYxN1tivfD8dZ7tKa+4c3A4aTPCVAwG/S/vXIqju7Np6QzpiHfeRvpW4G0GrTR9mpgcMYCaV
prYPVuODIDTTFVVCphY4Nr+CrGzSUwXKiJnngIc6m1l3ZhUpEt3Ne1ps05a+6nidToPeGzM8AUyA
TiviycQJhlJ5rgMcWbetb4Tjn4RlHVYBPrRkZZmt8wLmeqq+BAYQATfcRX+177D+7GY5vNUrM8kM
rWcbdE9GZc2H8FB6CnOwtV+C8HXm5GX1lzoJBWafRbwI734yGnTfeOygvxAWdH2tSpycbGyuB7ke
QA/jevvJgRLRLkGtrt20c0M+5ASCnJhN3kvr2dhFpEkLS6nYM91utNvrRZpnJTnG2cV7AIhLz52F
dfsDQKKEUU8VewhRbfHfyujPUNxWRdEuvICgDkF3hWfV/1xFtdbQ0y3BcmOWJIy9XXGc7+X5wIfY
em0fu6w+gNyJixNUm2PKd+7hP5dxtLEfkLR/vn2ExHIE1zvb8+F+fntVjP5kBeN6M4WvXXGIyBBH
84slm/8C2f2794FI+V3/DLqB/AKtRgN6VoWp98auroA4x0K8RexgRv1f3ufn7vft8+B6ogfaIDBA
Uvz8efre6/zRLslN4J9UcN1Bf1t6j//5mnn/7jv78cP88iZjSYh26u2i5fqhTOps2pMvFDrNWJ4b
3GPxncogWcid/ccLTUV8mc5V/qCzIrvlRxPvVaquhhT/Yypz/JM9/Offz/kZPv92EeD9h9gFj4yJ
QPr8fBEEkDu7XYh9A13HpbglGTnbj+wIsMtKxnSJj8/2bk4ufW72vp80pzJ2b0F45yYWyfuv8j89
bv7vGyQ37fqfD5KbwyB++x5Z8sdpcnv192nynZ/DHQtOxoec0MfJ+c7PbblayErEecGdvK3Pv+uW
XB8/iZClCVURco3DrWx85+fc3yiIIIrxAQ+ECuFD+CvTJED1nyoE5lUbZIiPJ1vA7oCx9dd5Mpp9
q8NwVF4sIDapPzVDRtfFPWAi6V8mBSApHvoBhTRYrDBMwJn5DQa4XvOPC695Fq3BRC6tcry07Ts2
kzgIyXQ7GyqX1xEjtCpTNvfr6MSzmLgDebwL4nFOQRyg+0Dn168H8E5opbuhs0R5T4fBQNI+FDxu
rZAE8cpW/qGRYvroDYw7iajJcl/aFHOow3mZd53IVsBnaBwlllnhj+FDa0/WGC98mB66JqJz7Prd
uiReC3ApsXTfJrXb0Ru3nrpnF2KJZwymkPEAzABgOYniOiQ2o7GgvDqvGlLLpCnWhiW0Cookks6h
ZaRJGpePZ6DgzSUM2ukOKo0yA4zjeEkFfG4/WoWfjKKnL07bzEBhhkiu8QRNJDB/WvkhpPoivLNs
KtdkHZpqL1S4fm4cYPUl8yDqTxbS+8rJx8jnXRF77ljLA53cYecrfCEa6npreh4qZdtZPRVT5nF7
LNuMR2WxBtnqAIjo4sW46xrtIxBtdrZ0iu1CMqy3Wk38xY1afRuFOsw5dKRAaLUH9YjpLpEL+eqN
tHA1b1qLTSRjQFqahBVy7A+lA27mmlYOf66Fdj7M0YgZIw7GmsemJZXYE7cdwtiiXcEPva34fGzC
yjNvgaHsDStHuANAWuSiKmUfV5EDDb0FXUtjqTCtaaWfStfuFHgOK0qCdfjWSP6uXAQt888rVwKB
0rt/HabmP9at7bXf6xb0lv72gFEoHW34WDcO8Xvdgt7Sg/NxWw6BU7yLKr/boyhE5JBnRhBxh5Ae
bP35e92CcwpScWwgwfZMja2k/QW9JejMX+oWpJvgVZHvD/obf2969R/J3KgJ1wjLxHQtpgoMUKJ6
SY5itr1jC2kjT3jQoEAxqIFm64q2IDC530yx4VAYtxaJ7YFjfh5ONZ3vJzJfLYXN464MohjgEFC+
agV5MjyYZrmEjXvwqyB2RSHjnurrbp6PQTcGydz0h2qFw6fBtG0KFsVFGM075bpfXRgq4HTo25hU
9ZIASXIyVVt9vFIvHzmniSdAKkW6fF6CAje/8JYMmqMmJar74AXjGHuj5SSg6RO3W0mymCH2WD8l
qi0eBXbcwQmWRGmd+pX5hIMX86JvUkAbn3seVskUVE8BgFrU4+DgzhSoLSRxoCOeAubtaNitSWHc
vKTKil3d7J1g8tNJ0r2emyZdoG4Gij9/WmTxqRlm+NCwKfqQaFQkqpLGq3d1PR8gxMOiOhuMPBNE
TJR1XxjxIPGy26cOQvMYPi03LcbhLSic9aLr5bXq/OIEbRj4UB9ybUjcMqul9p0DHWjqgU1Lqg13
lXqOdsbUJ9vvp2caoRVBS6WGfBvYVy+sMq8IZS4WlyQC5FpGy5JAjb7KeHRafV4InSHmn7A2y6pL
C2EtyYC7OVa6LjOrAuO3kKrIWqKrU0Wk2NHIDPeOP60PZp3KVBKg5LUW5LwETZivpq6fpZoceOXC
4An7dXOnld3flIFTHait5qs+KmCDWoQ8AsVW0BR6Hr8qTNttJA4MUGoVTgwDVPFpppVFgTpa/aF1
yG0NH1hWlqb7SBZc+F0B6cqLxSP21aNiBBbhgIgYljGrKU2WxsHKDgtdPK0D7hsFekQ752FZcdVN
1ht2pdv+GUxWlFj9eFFla/ZFMcw5+vIMu5mM8tAvp9ibu4s3OEPew5PFQzVkvR2dwP6xuBYVyBEX
QuVgitp09Wo7lTatILNdSC5Ht+wyeOFCtwVBWwX1WUaUniA1nR4icIiHAKEpcQmYfWfRdk20pb7O
TmHtQTGlM12qb1z8/+/FfItj/U/F/B8CDqYvf6jj3172Qx0HVhj8E8p0Q5T4H+q4G0LqRVxo9VzM
f/+aP5E9Q+DpgfYCKCekZfjRv+o4QkhcGNvxNEM8gPivoZmgL/5Yx9ES0F9CUKiYeX+p43RmfTTS
EqbQauiOVETeGR6gE21Fn/ijeghQjHo+1PtWhmJ9K6XurdtxWcBZr1UCulTcRmXXxkMNJx7zjhIK
9LwXwK7sdYHOqbatXSUmL4ZmPWf1VB5ApsOD2BVeDLqDlUk09W3ehJ0Y7xfWPUflIoFXheA/wWjy
BDp67zjN1nr0u3ZGp1m2G3gUdbpst/SAexsemBUSK9zuiy1x49t1tCEuGD23Y+FsB4R+Oyr33fvZ
odsx6rYDNSkL8tTtkMntuInt4DlBBPoDZ7F+P5TMTvztmPo4r3Q7uNN2hCexzrG1HWu9HXBl9MXe
jvyAs69QAxbUgpIsqYPaQDx2MluxGLayUYHaiTkqCdbzMWu34sIKa4A0fGBfCyODl2XlE0yAfg/Q
E2KfhJba3kdqvCtr955y0o6H7t1eWm1OU6g0knbznvbvNtRg2Cyp5ViEU+yGMDW4tpl47Bf+V2hm
zaFa5Lgb27pO16a9Wbi+BF53bEV56YlzooOVS22OVhOkcgV1sjVQviZ+1X0xrXNXDdHz3zss2Vzy
m6zqzyfBq9f67Y8T4Paa3ysHEmi2nH/PhrwU2+mPE6D7G/Bpx/bBDRAUAvzo+wSIlDrI9QhSEvDD
nysHRVwZnoALcRxEf+BK/tIECE3qHyoHlt8I/x24ExbEX7Eg2OSw2vatf11Pgp0s1vTF/TzXuCPR
keud8WAgWULA7T31UxgyxMFTvkFRsfx9XUBs1SxOczbAZjE6CUryGaaJ2INYJHYb+4r6wEENrLhx
zdqjFXH/HG4b6yxIDp4Z2Au8J9FK33zQsNBhGpYWhbc2SVDCoDubE29FbtGpBPPJxzsg8nCZzcGL
mCP4l3kZZcbmOwHyenW7nXHYXW+3Y0oCNHI4DqakbdR+gFAx0tFbWIy3lUuv154eHBreV9TaWVI/
WYx2p7aQp74EeVF61cGOzJOAVYVa5X3j+B+hjcHyS6MSCku3u7c1e0Y48MGlXcZJ8exGeHoqNq0Y
zD7GnWECHb+RHRVGMCgyMG2qbpMvRad+s9zXyjlhJrr0woExnrNz33ivEMFdD2v7FdwCBFCDTFZp
DHQ9HTa+OkwaaLF8yOPIsoKGccI4WltISRz+Mexc6GnC5bgW1hNV5e1iPFBBAz+MrAVQEOo1i5Yy
lrQFnWMXQcKN3Dumf64XtqulJRPfVWvOFggwWFd+1pj3kqWz/bS1l11gVUcBO+WugRal7TwnNQPk
AFCmP3RF6WWu+joGC9kHdRBl8AkCsfMhoAntr9asqwR99roXIyb2qgKMHvYfqKLWlRWJfe2rWwHs
H1Mp5qgJMs6hgyKStXU8E7a8LO16pMz7EvrazfgEJzRI9GdPdUefeS8zWW97an2Af/DZdAX8+0P5
FfTWkgPHjzIQMJcmhNsaE3CsPFsDGjZvM43QlmwfVsSO5dwZPy8l3PCACPNwqj9DjIGfc9WpHP1G
f5ogT72afR/WyGac2W4ApCowcS7eDp8/2DeLPcM561djlEyNWsJ4oCHg9gbVIEUiRRsheAEvrrcr
DhlPjbYBTBNZIHlkEbi9itpiSduV5X6ZyPWKwwAPOQ93tUXNbedpP56Nc3Rd7iYe9iK3x2vWqrOu
OWMuljIiIZCYNqCnd+HcsheSga6aDw2cmbHfy+pI6bzuwsk3mayqIV5Kw2IyTbkZms+UsOt+AlOG
InV2RzQJOP1uFx2yVAt+6YMO2JD9aKi/3CsIF55bGPFip4ckwIVp0y5Ul1GMzLDmuXXWQqU2eVBe
zm2HMAn4euA4obhvHNgjwhYMjW0gGm88D/QJZOKhtZxrZ4IcqnXiEULfeBSIJ3Aq/UmN1s52OwdN
Wh3aAMkREJYeLer6R5sJmsqO28iAaNWLE/Ze7LcUiQlsCmKv6oe4LUMBO5fqEPMgGkBCK/nc284T
xGVFHmn8v0YZumtXkFB1LfydbAYJ3IST3VT3Mrad7fstgiZeveLUR+UOEqhLhROVGFC3PFK3pcGn
Jpaf20yeIKPaVU0xZDISOuarOgMPoMlchrBY0xHf0CpACNb5wMslb9rmtvQrL1U8jBJJ/RNlwHxM
R3aVXz+TSe1GS9+v9TSBAFDY7cD5QH9xRtwCy5exwWoXql3Rdftg1F+ZC+Wkj7EzBeyHA1uL2DnT
ufnQaC6uonK6aXFF4ROuoqyRvopZT/Y+Hx6XoAW32Z3Ggr7NkNfFQjbHoTZzxux5hznz/u8J4duE
AFDlzyeEA6R6/2ZCwGu+Twi2j0dgQwCNLQGyeuJhtv++W9j0N0goACjDEPvNXfv7hIC46gB7A57p
hwYSUQ9g+ffdwv8NphQ8Qx0aCbph5e5fwYjs4GciB9g2HrXubr8DYnFdVMJt9/hB8O+WorPZFA6X
pg7KXEpRpbNsPLregj3dgNHqG0zqlRMBaFpPtcl8e3DsDG7dpTWJt1SuOPVbjsg1DIJIZY6hHfKV
H9tz0MPO5UPStYNSoRGwq3ui0relVfDJSSFule3LqoLRu0HITqRauCu6yTuhJhs9J7bVc/0aroOC
DHsIilCTZJ7VFGnAz6Xacd1FZ0huywOD8xeRMsb72MsuATIK4dQooeD0aggL7d5MJ4zUS+7Qqr2E
oh7vbMh2PxEo6LvDxEv2afLUnAtNmitsIjKDuKC4cMv38sni5R7THUgtatzlFtlXxUGP0pzrNjQX
m09DqoruqzRUgxB3HPUKj5lOxOBBaFYWvnMocSA/oCM3Ca6g/5muItpNpTBXsMvGhVyrnbA8946u
RGSzC8GdGMnsQfgIF5k/DNYBD6BZLooontdQtuReZ3ddDBWujd5mu5/wNQ37viArj23wFGkUlc6L
u3brTbmuvIXXeHQ+wTDknyA1Y4el5vrJRddNkf8EjUwXsXSlzXg9jvVnXNL20MOwhCmoIiLhEPSc
PYOQFz+U5WVpapayxa8ufqX1LoKpM+NrRC9rX/n7pm95Ei2NSkqXLZ+9YBZXvin0w9jIMdcRbwFz
VA4KqC3WOChRNJeo6HCj9MGtjVklRyABuk/ldukwEnnCFDadtK6PxdKsIPotio1rmb8arxR72jXs
OMvKw+/GQ+uMmk6gvNEQsMgF0rlhQK5Cv9B21zH4Hz2Du2j21QARtxMVR6Gs4GGMrEdJSufKAQh/
jV+/yK0a8gwkLnk5GB1yvawlxArU8AOr2imT1sDPnu6Wu1JRk056k0ZWI8rqtBbYxLRm6d+V9b2y
EpSiP6+s/xBd1f6b7Wt71e+1FYuU57gIeN6enAh85l+11SHIO4DZz4ecZXPvAST6vn1RPKUefxFQ
jYiLDUIU6++1lf7mOsFGG4Jb+aZd+wv4O57w9ev2RQHxw0QFSwh+T3t79uqPtZWp0HDuUnFt2f0z
q0DZraP4ZC/+QdhNG/MAsJ8asxBsIZkAn7rsKlr6i6HNpv8Cbt5UfROPzEpUODo580lOpHtvqsnJ
aIi0gIktVwRhJIGFvJfKHh4qCqOwsMVV6fcimSy1F7V+bQJ48MEzfkE4l046Cxwd8+fTTKcv9Wj3
CQVZmKI7ZMEyoWxjMs/IiHlDNf6cQgk6JOEYjaj0JEgG2S55K5cbZ4Egx2HiNM4+lkg2PLnw9aSQ
6H6RJDiCltgyWLCisEnX8M+7sV/CBtWG0Q3UZ49TscJfTzE0lyUymUSIWsgDXiUrw2TYNKyIw+Lg
siFfQlnEPUSysWPmh7Vk5yFsT13RnUp8plguWD8bx7kzFQQ6jDVZ3TrnwnY+FAhcAgY0NjFWZJj6
9ATfEGZvdCF337hQkyGJ7JH6ykpQYDGmJf7UV+x+cHj3AmX6w7J65jRsZIaLnDFhG9hPevUyM8iP
23rXdAYz6ehjwjbAw0a3cOKyoOeSOQ9uD8P+WJlrC97FrIZSInX8lWVrBOU3U9G2mo53rlV+8cGY
7KCCT2xo208yeB3mVxgAUOWDV724cjcqhB2MmmWqM418iOyyvRdEdPVbxdYvZi7vVpcAmho7GWL5
LCl9hV/9UgC1PJChJft5cOS1o4ro2msKfUTJxd4GVMuEwX5Q2OdJSaqk9KLl4vIVottKNmYH/9Cj
aU0aVk15dmf5Bk2xsyeSRT02Alqu8d917r3Obda8P69z34Js/zhDbq/6XufAM+LLsh2MZ9vEtyHN
32dI/AjZ94hv8X6nIL/Xueg34NV2BEEiDMrvWYs/1DkEWwVAhMAxuu8l8C/UOQyKv9Y5YOCQcMFM
iWRHH6Tmz3VucmDv761ouQYWpXNiiTbTCIzCyupCPXeihM9+3E++ZSHNrO2AJ433pPF3Pq2RtKZQ
FaqS+FdzC0sz5A9tPAJOBrMK1mpxde7YQ3QJJJbseeq7WwcYAVJTBuvULMzfaS6fohU5b5ZPPre9
B9qyXG+bClknAGpFanWTiF0WXq8UQQathLuAdfBWV9JgZ6WoS2PFWiBJzm3tWuIwNYjHaBCnCOOi
v7fCGUOYW+iDXY8thXet9ZG/Ut8BA3gzdX8vp+qqazZyjwTWgc/WfGSRENhLo+6ajMELZqy7qMef
UmDLQ8qmSTEYpnpuRVqYCLgzLo3riBhV5ZbU60Mzdh8j3p+qUr8g6G7Huwa/7GqcpIUR0cP4A/bV
P68d/QL/Rp0sC1wkCG85oU7KBFGKfWKNAxbLYM4jp/hcly5UjlTmhdRZaPXIYuieeAU97pYZllRl
ozJgHp/WCmYk4B6wFnR38MaKhHC3pzf6PbrA2lIMuhLvVxAzJT0MfODzUJLkDj6MnERm55DhNNpR
bqv1baW0yvxwAsjnqyRUiJXQGihVO+ou8RreJJieOqgtAMgYx3vsRnEeLZchsa/LptmBEXt5K8Ig
c5xuSJyCvcLT+nUMmUTEhd+mg7fK3CaDOFPh3BRqCeIwwOrb8e62VHArwnwB+hrwSykgyFUb1tIG
8jA5wwPn8nYkDUQ4QWdiKni++RfE+9Ta7kY7gDCHPQ6Yi+EDhxVHDSKdrGbKaIDblWrkblY1G9Jw
Wck+FG2VyQY6X8mAEVQ9XBUFv6kbRGr1OjgVhsLK0Os5HfzqFfAeS4ZJvoazqxI9W1W6eUD2BTz9
AN7qGqY7DwmZzkhiYq9dOnvMA4jK7sMC8RQrVq690zTnoZBzAn4AXPoMn1nVw2MKITyUp+Y2sMvn
NnSLuJ0bmvk6uGoCZw/ya8C4EF3PLdhwYTl+Epb2gSD5LQ46e4gxp5eAeOdrOVsHJQcFRUz9eeQj
XHvup24xN9wbgQqx5g1F6gLzTxMDZ7lMxicZmBIkf+p2wvyC+b1zv3APKiPdlXtXLJ8Mjy6z095X
reBJ46/PAvQSIBmf5dTnPO8QgRYPRfCsZY/8SEBqnNdvfJ36Pfij3TqacItZhKzZ0wKJY9W9LBl2
HwDWmdXVj62Rj9BQLXEwAWkl/AWgEgLqBol+L7FfVNI9j5I+cGWdsOweadRAEDj7WVB2xwIUPPzD
GKZ8xM3wyHoe+mUXcnklVSNihMMYEPDh0wCHK2BuN9pPXRilGlbGvbFx4/U68q6dWlIr7WHE+/J3
W/w2/oMQ+fO2+I/m9YtUf2yLm/bu97b4PuN7zncs5AfZINoidgIv8GHy/5m1BeaCxgEN3zeFzY+p
HvQ3PKnV35SG30Q74V9BVrB+/KErbmmQiFPYctcoQrN/7oqy81dkExb6mgj3Qy31vYMNvPH0bT0j
gMxMXnlkBNZw29vzZeFpU9dFXkyBSYZ5LGLSI2MvXNCMYBa9Ix6ijMoOiX/GG3AQVvt2ID0iISL8
WS1W80zwzj5ETDlbmb5XIZiZtZU0tuV8tnoikbXFEQu2TlZizX6RhkPIMzE5FqB1019gXvgAOAoE
zrS2V9zBzS4DqChYgcnTEeHO02Bc6SQNyBtES62q/VC2FHSs1XQxUfrQd35e0IEhdwiO0tBr3pA7
8ADPthVDFb+XrnVvrbUdF70+r5s9c/XZJ2Sy8Lj3R6h0pMladeD2lc3cL1P5qtxkiBhCgRFdZiZo
IyGQBKGCZKa0FXOdOqvusm7hr2bF9jMP6ss4mKM9oKhHBB9ITQBqFL2BJhPyvjaz1qtxsI+zR198
Hhwk4V4cLbB0RKF/pZhCMA+6tDdtGubZvq4DJWJGxsxGz04GN9TxwJg+hAojBpzYdw4z3m1klZ9R
2m51S2HEFK5IKru0c6eXTqzDyc7dABteV8ghE7XiaVEjr1EReuVU5WEZK8DbEH9y2t7NtcYkvo52
1ruIjqAa/H0QwdMfwMiZsX6Y7tlAoIS3o0dmSR5DsrPrCT/qOvzgReurbbF2h3DgGPGfIFTKKJVO
WccdvNxx53V7QyYnCYb+6Nr4LKvqd5Hb8KQu7JbcdN7Q3mNYwxsrjS1JXq+e+owZSYKRs25wg79G
spKxQrLbsaztJ9VPZwUvemohGyytjPs2m/ENgaJLDnMTiClNiz3s4Z9ALBEE6DkQiQNayyvMfr7D
9Kmh5Dhx/tyt0WntYXDxZbmTxgJks6B1EJCNAyvsWNYFGBCtLwNfcXymDyUrPvVlSPetC0M+t5r7
YnU36G187N3wUPcD21NfHoH4CWyHQZNT3R4C5n9EQGeJ9Gz4Y2q+3uPPNFeYSifYQ6TMBhbAL7V5
sScFU70dbV/e7C4JCYoAbIj3qCVXybRCdaZ12x61M87JDMFvXC4VQDstEL83a/nESMH2LVKTb3jg
I0rN7dO5Xeycjs0DdYDSsaGE/RUkh3ZkhS+oa7NC8BFW3LrCaR+cg66Qlyx5UKbKGQ9kpeTQ0/IQ
2oXYBfhd4j5wFxA7OKUUfA0SzdZY9u3eG/o9t4KUS6hBOQen0QnLxknzhgRWbfhqvDJMkdmJCcoG
IYR/QSzWDQf7JPX00Z75yVfjUbrLJfLU/RROY7zqZgfEto5byHvjtrYv0zx+rCTyScVS3jTeeFsz
80Dr+ayb9UkXoEVrRAXFjeQPiNM4ejPZL1p/GCgIoH5sMdtIBJJHYr6qdZ+FRMm8WSjsQGo+F8q9
RWgskFBjZ6HTHf8fe2eyHDeSdtlX6RdAGUYHsI0IxMzgPG5gIkXCMc/j0/dxZSlbWVn5m6X9y85N
LUpJSmQA7t9w77lm3xcg0Psv2wnf4si4hllyAbFyg4KPwndo38PQoSZOl5dM0nTbtecF+Mnf2tzF
ZzpT1nRm9VBK5spaVQZDxlMDU2dOn6w+cfaxLQprhzLdDGQJDcKJy38meP92hDJw++srHDLXN7LX
v7X/5RbnC3+9xVVUBBKJnzqJ35tb/V/kM3JR/+hf1arjlyEehGaQpYLZ3m8d7O/NLY4BxRdFWPsD
0oxt9W80t0gl/vMa99BokOstUHsR/exSgPw6xCsiKPbZ4JXXup5F+wqYp4yYITXWeOrdYUYhZLbn
qTfLnaUvPEhTf1MkNuyiIn9vbLOkwm/3vChO4Fug9aNRWKvElvUaYubC8TWaG9l52sqtxbLRxim/
qSP/WToLZw0i2TWb8BMIhnPj2Huv9HHea3JXz9Vz6EXICGrvamlmxj9lipg+645RnmAZsJ3j4sX5
KrLdK2Haj5GDqqmLvVufTINN0cSUD803oj4gCjvR05A71Wqk64MB4g7rdFiuROE+TyGoCMOyXvys
fBYTNP/UOI9u9qA5NCF0cGuoAI9FE0IANKC7hOPJXey7okhYnWqvZjytozraUqm4TDqrc+WWL5g9
LpYEZyydaYfTtKAPs791Ge9/MWXYIF3aKLFItgJZtrGaSSCTqOfA84o+GIaBtXqSXzfjhPoyIjNA
Qlnm6rmMGWdVtIzGDgXuNhE1N+oA/T01irVmLjdWKD7MrnpI+3k7etAPrai4mWyxnWV+iCFFoEtu
b0TvPso6jILKnl9EzNAxHp1qQ4mXrmn1yq0Vz+2mMF04tMttMxXuFkb+cTKyT6k8rl5nPgrZGJAR
zHAtSv86GVzzkoXufvKi+/piy4OgjIEqdBIzGmymLdvYHZgh1lAAuiUJOnb+UAG8FymQmbK3N1ne
xjsmxqxy8vIjdUW5STrmdmZtbDMPj79yQXbzPp4RkeV58t401qfrmJ9jqUf7qLYvio/A8CSCaTXk
QTJn9pPlpKBgZo9SLYzRxNfH3BGHzDGAjsht40XcgfBognkCq21GYt55PyaMhdN3wThot3E1fveX
dGzWjo4GUKegWGq7RRJYH22thsVN0eELdZGZyqfiud6GJeneVHUKHs9vkFIeUBWzRMFoq/SGPLo8
R/5zaQ3WWqqKp7aNOoj9aAqw26JnhAYAX5Maqcuoey0nu/MHiG9miCSBgqrwxTkcWgMqOLUWOG3e
Cxd1sEdtvLVUTYZMXt9qqk7TQS6cZkq3kBLOUrVcR1Hnqepugn9zqGg2V7IbcYwtXM02xUSkL9dl
yZuSqEoRge9NSOkoc5yXlaomBWVlRvxGR5nZlrexbVerhgrU8/LwMInyMqmki4Eq1TfL7/SylEnU
r7mdV4GbtulGm7R0U6kyd3RUcV870UYu2o4qJFneTFUXN+ckObTUynFZz+s65DEY8vDbrApqc66v
QlViF9TaZE7sC0NqiEDlkxaln2nPK2MWJc82lXrrs15QpTsaMRTZWfYAR+vLV/V9NPHcWarkLxEh
2eDDcFRTTwxRXZw1c3KuDJoFjRHSZRrg0kCOSgLXX8LNpLqLPgzLddTQcchxuBqalNmP6kYyP76X
DU+zY0dYfrNEIk/nE4dWA/NtXm5p1QWKVIRWaJSWdUXbY6ERB7vLiyUXtFea6o6QRYbbYe6STVl3
9h5FO6xkeUyBOzGDr29z2zpltFt6qD8g3ilZcw7HUN3vOHymeNWWTZPgTzCal9R3WrD4bSGSddsn
p74f0FF2g5WbFKohbu4kbhHWR9I+/9PW/2jr1f351zWBcgX+krr658pAffnPyoAoKZsdngHYkcjH
HyKI3ysDeBHMSglyp5f/bfP3c+yNPsLnazz+AAGSA7P898rA/hf8Sb4MMaQaiwNB/xuVAd/nF9sw
1Emm6sQ6IPHk+zH7/o+6oGFa3+Lhia6jLKKQP8W2/G0j8ls6xX/hS9g/WJv/D1KIHxJIpcc3AmQB
ipQf6o+1R26Uul9l8wSGE3au7P0tAoOk2br5RPzDJNjOQMTZIeJOSDapGgQAnefcc83x2HudL64Y
vcIsBEFeX/WNBgqOOBtRXwmh6dDi2n6ONnpluEvQjnpQVqNe7VMJL6yBlryb8CTumjIyg9EQxg7t
ZB1w9GDBFhX89UHcwD6MdlWa65se//8u1qLMDCI85NquyOnL74tmkV+ALoatZcQAuOlrdS3ws9k2
kQpw6euBUdk51g471617pq4pPUs91bcdaPEGNNt2QdEHYFi+WBWUsAkaBiMFShwfX/hQ7wZXnMde
GNw72qWXw5OTWg8gAO6bdDlHxfAkHHatnkD6lcb2uW5soHL1WcrkYERRejCaPsZ9KU6jkSFpyz3O
uXKnx7g09RA+XzkfG0d/rZJkXmeZK2he6usmFsneL+S5n/R3KVJIwRVcCBtxKxNl45Opc7aZfT+Y
S5GsOh/FemRb+babJmdXWOFyooI7DaG2m/IUfXwc7fLMaTawdNbRUuFQia/y0bGC0LKZwchqtyzN
IWziO7XY3SUFM/BISw/Nwm40ag0I0RPTeJnfY/85SQsEu8a29gPiU7ueGxADUKO2E8CfFQgFEoXY
tmI72eTMSKaqvhptQCJGgn0phcrF3pxCIkqce8dmsWlNdr+n42WEHvomuxGaSX3urmrBaR/5zWFI
p3lXZvonlqzvRu54uwZS3Mnycyh0kvyO26rw0OFMduwQzsFo1jW0o58mxq719I9Uk4dFaJfOcB87
qe0yGYIjnJsgTHFkWeAWc+92KIqtn5ibpAmD1tDgU4xgKTJz542duaktfvFO4e5bfXg2FprPiqsT
veMb1turUu8sgN3T0cn0m4VvOhgF5DiJAtDY9ZX2zWyNT02bDqW9nC0MC777BFq79JajC05l6yQs
X13nsV6MlcTvNWAk6zuvO9l5egaEdxOFibGG5i+QfPqvWWSiGRb+phmNs28X0Xq0r2tEoGCm1+zA
2YSzcXCl9uBN7aOdDigm02njyOjGHlh+Ix3F4znEp65MD6zbSO4YjKdKkw8UEo/0sAz2xq0bVV+s
Xo61rx1hMS7opcWxTvxdJjAWeW4LUcYAONnb3Z09Jkd+vpMDTMLqtWQ1W1m88stGbk2rQkprT+l+
0nLzFRmT+9JiB2ugl8zhI1En6d1EZbyaYGgHMCAaqNud3NQa7oREqaglrqtVbeLRGHktzkOFOqi3
F21eZYzg2nVfCfWGYZbEGeh37FHq0HtfhEdt44gnrTVFMLTiAosyZA5Ssam3/ZaHGc3rMPfZCd0P
ggXTuet0HQRKDf07Giomm0ZyAt99n1fpCFiDIeAAunZLWfkixH3CJ7+pe23ZuFNbHD0rE1dhJfll
LwhfU1G+21EC0aaeJa8cNE/bedCjKuX3OKe7aI7OCSRyQCThbdqV7/3kr5MQDHzCUDTU9PtQ8Clb
1Vvbpzirk/2QdF9uM15nzpJso5DJmzVmr8jat1K4bwr413uA1ylolTc8Ie+GmeEqcedzGzqbGTVC
khHfVpvfc9FNu6p2NkkxvA5WuGN6UyEM7t/azt5WDR9zOm7N0H0mg+cJROCzY0Cr8Kfkfsrmc+GP
+64mtEcbk+dIzqDSeEWn6WoIc6JgQswimbjruuWa5dDrJJ1LCd/Qs4fnkZ7TGJmcucuwBULJYQFD
iE8jKKDpIPGCfJaInZ04KJezOkYPHR+idpKBtAoE3o64p3zjN5gZ6MQL96Ee4mNnCXD7sQ4DSJ7q
kLWsFhc3cbx0+zKJnp25dlfgT/dObgUcN8B9piur4KfPpXv2enffAFAzOufVh28fAq6tvPQaac8e
nRaDuJB4OjP9prF9ccaYDngh/qwPv+ldeuR3vYkXNNyQo492P9+2lc4/026PMCmJ+RJvoY7+byY4
jF6DudXG85xli6ac4VUsb3R7+mLdCX9zKd50W6mjl/jKd7JdDS82L0iHS4tyP0QsqtgpzWdcwoDp
TWyM8ZvAcaA3Fl2aWXbbItcZZdr2eANTCul0E1k4FZuXQpewVHXvmg0qq9Cirk+t4bIklFO+dYT4
iJmvb2o90l7Giry0BG8+pkx87pYdZ9+nLnY3pgW1bTPO5hUIzfDrl/rsvxQhanf/xxLEt2FbCSU+
8D1DzWB+HX8YqQNfqQi1S5I8ivQp9d9tZ/e/+ytUpfWLBHXmKRZpz1+h14y83eu+up6Sm//571DL
lj//GAJWuNr7QG//499hmv2cj34cXeuIeDzEAN15mh407bdR31+WbIg0/vTX4LxFCEFslgJW/PGv
gRU+W246RNc9esU6wXoK+1WrH3v7ZhyMlWhZqzr/ODv/PV7kQfjrVgKwct9++3MHofNVPzsI1oA0
AzosOnj2AOmon3/vIEx01A7ZaA6ruR8Wzd9ni7QdBmEBRMn7Ds3CrwZ9tIN8sjhC4TP+fYO+khr+
8rjQQ7ggMjwbkh7/BJoJ9ee/PPkTdnigpaF9nS6VO1MElezaScDswmuAmBabfg0AMwgqlU3Ry/tZ
yQFSYVdMoJAI4PaJV/DJ06D3O3vTOrm+10eYXZ6SF/ToDAwlOMBI/m1REoTcAmDfoErIfsgT0Ckk
Sq+ghAuVkjAMHiRKT8kaYp8kJbSBIYIXRA+jkj9IJYSQApGHkkYYbvw8oJWIrWInlHiinDbFsOyw
aDDiUPKKFJ0FcKunEt0FsxRnFSsphqlEGb6SZ8ToNPykuRVKuNHDBWEjYN6gIkEKouQd4GeLjRnC
6Yrb+stCA4IaoVvnmht08yfzP25Npw4GJRvJ8uJqUjqSImJ3pKQldgvvu7EYUaYVB65VMrNdPJ8L
bphO1hIngYlOpffCbV8OJxxhSNTxiaJnaS2KD/QtJNoMMJ6rdN0M1mdHnEc6sgDxMbEs1rkg7mNx
wFb3ESWRdFFXEAniqWyQLKv26KSDqUweMtwxXVfcErh6koSKwLuEmurktwMfaa9yR/QpbopdB+Bk
64nqaDj5e9FK9ojEzemDf4ZhXMBBCAtBDWM2t8bE6f+WNFSZAflzUXGrLd1c7XJ4R0yoUv0FayoX
GPC2DxPnEw3TiL2u/wCjsCXllmpU2aRi/FJM1zBOKQtVPkz7bpYXuwi9gCH0vK3xW42aAC7mza+Y
CB66Zbo1BuPNwqGl49SKlWVL0AMHLi6u2JyOo7J1ZRKPGDZlmiGL2bIyfzk6SyncYABe966yh/X4
xGZlGMNPTHcTedehMpOhKWTJA+VNdoTIKMNZp6xni/tlJKUNrrh7GpQ5LVc2tQy/WqqMaw4OtgaO
6qQsbY0yt2ml/IjSelln/bxskW4DDsMLZ2rta4yIrFQmuULZ5WBHryploOuUlQ5LwGFS5jpoDzcz
brum04+iwn6X4MNzQhlBnsaa14Zs3vDqmR7qWmXeE115LBgkrSRc7F4Z/OgIv1ocfxXOv6El5Chj
65fOyYVd6KlSJkEmw6dizNyVqQyECSuzRlkKaZTHXT0BaO2U4dDEeVik3uvilgH94UHHmWgpi+Ki
CSbl0gNfj3/Rxcc4scinhniplcGxwum4TPUJOmN1Qvf1IshTIvbhXhPiIPFIaiDypC4+K3u55Hgo
0d7360Vgq6yUwRIG/t0wkEeE8zLq412jrJipMmXy9oi3Fp+mpLK9C39YN/Fwkvl1El2bBj9O9P/f
oQXcSNQnf321nb+17Wfx56tNfdXPq43hGDsznSkW2SC/pdP8frUxHFP/twd35t+7sX8Px8Csct1g
F3EItVEZ4QytfmrffYQxAAuQhPKHHnagvzMc+8Hs+uPVRp1l8rbic7Z1dbv98WobeqKlq1KM14CV
WjeQQ0iz1bv+jH0kRq1ihqduQU4VzMkwpE9Gb9BAGroXd4dqidVMVyzpuZ39cQmSyeyWIB2rAgwS
rGzhfDD7cgmwqnjzeXsbjJN4gPaTMCL/y9dzo7tn49w2W+pjkoZDxuP+JqvKkQONXbZGcSYic2E8
n46aGvIYNripPpqMIDejZgls18iRqng/nCgpUwIdrsiuGSLbecwMTYqty44gNg369QIx6r7ShnmP
XKBPvkbLm7ZRgp+H8IkEWBhmA30v00mBoL3sPeYsZwc/Gszmq3kItAz3ErcHrl8JB1TPadAHp3He
BwdL0bLk1q7TZ01i+YRK48zyS4waoNfC+8I/baNSRPTuohzcgWsEHzv0zW5yy/Eko6o9ecqqGcXM
2ElkhRfZaMU7qqUU72cHZjkn9g9BiqavehX0SsScvmcJgrsZKss3w1NGnaWMjhWJAjekScsVACF/
51XFZ+ouzs7KyO2jrbZ3bdnFgc4sHZUcCwHb6bObVO/bNQF2h7waUPXX9Rh4GpE8kWd9ylYr904D
DKtX8Xk5U7mAYSORdEJ7r1I0FGLJ+jWeXW8nCTl0x5AgRXQz5E0nQ8u0IWLE0LGKKxFgsrjXk41J
tAKS0IXFJ2XHMUWqGpNbtjHRfeFgGudb3w+d3eiXgM976azAxaeYnG1vNfagwYoF/VTuWS9ZkTKy
q8kpbNRGiHyKaAVcY1511VAD2bGSnZGJ+jaaa5IXo7G7dWOuumU2amO9oMllR2Nm24XMiKBlqYJ0
caqCyXARj+SIHsKpSPdG1khWOEm+/+fY/LFcUP3UXx+bQfZ/NmWDbvDPJ6f6wl9OTsgsKPPYIKgl
AGfgLycnWSk0idiAmEGqefvPtYL/L05GG9i1aeOW/NFK/Dw5vX9BBUTvzdZBgR7+nuAA+eJ/NgUM
+tlrcAojxIIt8x8nZx2F8AaNAd2gXT6NSjg0oCDSOESgCbTNDVE2yIvg8744NuJoxhH1qnM1FyUQ
KaWtNhTHJWIkR3JXA13Xfmaz6OJH9iBsYRjYLjZQhlwJneAwq/FOX+Jj9xF1K0FUgjKKsA5IXpMn
KX/cRx/1FCDbYisWFHEuyir6qmjfoLXq4uk5HClFhqS6b0qlwNVif2/o0UeBUmuy9JOW9xccdgh0
lJgLD6OxnR2DNBuUXtkY73h/lnWJBoyl9GvYmcdOcGhJ5RAYomwb1QSt9KNArY2WTEAH23dKXtYQ
PLL1y+lTlOLT9fxkQwgmsnpUaf5kvRRmWRwRlTO8RrlmDvJWKikb/8wPv8ivYROsPGtw1xzkZfk0
UR4Gpm7sUgMvjoPxhtCSbVSS/ReyQF2c/JM06mBSJp0yq3Y2th1GfXejSKM9qC9i7AcHXAMOw00S
ayLotenalSNDZ6xAMZYgpniM/kyjJMTTK1eFcg4lWIiyYcTd2b1h5cSyauEyYkh4vSjfkafPT4jT
R+9mamHVVN3EqZZ5duOfpVZ9Ler0CtXip016smEmBctfsmmXx8g+6jjxDxWjzVsrNR9JL0RmRoDN
3lRD7yi1XhfdXVXMDP3+oRdZdKFHqY6LnjcEF2jpvnLKYEz0O4N198rCeLAq0D2sUj1+UnoIAjd6
b2XhhdzgrKCIFhXz6xI6gKaVN1EShow6qLiF/kDIkUKEIM7sYbFngjlcwa8YhluYTM/Mir+7Vn4O
tQR9mVFzvTd4F1yt/2bnLVtv23rVzOwNojfGtMjdzb7NbF8me1NHTeGW7Wbql61mWgXyUG87F+lm
SlwEoukZwzDhWNzuhHLd57A39Kz0AvKIxEo4M5mWKYAS7L0fhtBeHJNsTTndZbI7z4P2gMjmrYPQ
C5fcZ56oneqpuehW+DgVyWkeEYbXofkU5fQ4sgkfCGU6dQm/ocqM7K1VuSRWev6lMO3X0B0fBWL+
VRahfp80v1kRwvPe2v7d2CSXSNEoQiWtdYfr0bDvrJmfJQ/j24a1DtSqNcXaMULU2ovxVGnOezR3
T4qQHhUOeb3OtYyXvQVJoNJRIabt/OL0lCpJpOUsvOhaOeYw4dWgPomVwYZCsNB6iJuXps2Plj9c
pRYWZX156gsCcEkpt9a1NR6qxlFxYSoKWMvuyMt9J3+KcM00a1bM7ncqqSIgAdMLMC+0AXjBfEvU
w36x0eMkVZ4Q/1KtpxbZo8k2Sp24nFJGGaT2cFP2OmoFTADbfphvIx3Bp0GTqPMr4Ey6tWZxlfT+
h4OXgQZNPJrCvmIRlqytnnxX0sdBz6kjrpELlj/93vSLbeZKZq0Vce0t4cw+KI99jozEyDpkQXkn
1oLnrV+ie0O3392cPj0yvStgV+EuijRtS2TAnUFRt6qj1CC4xX03SQUKjCLDMCiqYLbI78lj01Yd
8TYlQ7TplvA+qVlqwhZ9KOIB4xJjkY9KatiVBszCLWdEHD+PcrhufLlnM/a1QN0OOpRShPPqhCXX
FcmDraMxUWmX/DmPNDe6WkxKm04MZUAZf3K85sFXOsZGKRrJbnvDMw4DxR4skF7LSzigaHQRQopO
q9dL39wwGr5IpJIWkskJ6aShNJRW0RyzxQzSyM6CvnNukUxeYYDGAKIUmAlViYckU9egCDZKpYkl
RAce3j9YCDjjEHQkgs5EKTtTTLT8a5YXX4k+6/kpdwCajMkNzwO/BOShOTLRxUGb0WHSYB6EsUZp
SSe/uy8QlxqiPZIldrL16bEwsbEgQhWIUSvWZRASeauVTtXNgMDOSrvqCzaosdKzFjqaV87YzRhX
+wLJa6O0ry4i2CgR+D2ULtZRCllksmhlq+SwKPWslpL780NPq5S1RIGbBwJ8442vdLelUuCmesMw
Talyo4lkAqXT/acq+60qo0L566psS+pv8d9KMr7q95IM4zVNqUcECLPVP0AyMHKjs2CiruNXZFb7
i5HbBaPlMIo1fiSG/KjWfpZkDmw+rAOu40JFVWTpv9PMun+e07IAIWXUgWvEAoFFyB+b2RR0hT91
oXthTnWMunoorrrRnGEt5UNVkdUV9wuL6LYleS2PpqfSV1i50of9w7UgXyervSdsbN7ItkjXY9fv
QFBuQP+zdNcLE25kJlaln7yDLIt5UZ04AFxMwhA5QHg/O6IZNFaz+R1B9c9jXxrpbUdS/D0h4nt/
nDCAhOQV8yZHeqxd0hBiDn5L2qlci17nqpM3YShjcSOz2b1xCo98B5tZprUSKEbLjRPmevEgSLzb
hpxTY9BORtiBFQZz9dRzEZMmmI7PqelLi9iQch9L1BBcwc0V0WjHsXfuYDbNJC0XT/qSPfQ2WdOl
rD7gbWC+lj10VECETUdXaFjvUkVEITC5iN5EVTo99RJdgEVBqA3aRss5AiKlvLSryth4M4aJtnDt
wLDlM0I/j9V/ihbOuU+98TpJCG2dtfi76bsPeW9/sqaLgzbnl+J4NGVWyt2H8nE/8v1XJvvdt1kh
NlJ2hfpCLESt0j3yzHuoM8PclkVaoJ7rtNWUmHuJSqIYBprkMT5Ykl2ew1KSOHCXbbueFoGZ1CTZ
6fMRmtFtaPbgiCzJQMA292VKtoXppSNAjMk8zIMSsfT6d730N17f5kT7OSGqxnaXF/63SJYnGDKn
1mJCDbgM3OziY/rDseqTyDWF2nfHX7aZPh0wvl+iRrDsDptN1SxwqgrFOIVB0pUaDPJ4RJ2g5R+j
9CdQq8ULj3THKHFw4ZhQ+vN43bIZ7djelpfOSTTqxvCGrMJbJ8KOEEnjLqyw6vbcqCt9ahwWu0O7
5nljX1++9InZYHbsjh2fYNf2WxCI8W5yEGAIvS6DpaDbH+brqXaejba7+F38kKBkWMd6+5RH8k4S
XYZest8ZkXLMCrQZg2zuZjd8IDb9dql7XhEDHi14xmjlx/G8MZrwpscnOWchNJRJ+2hqTW50u0p3
s8MltRh+hhAbDGbktHB7dXtDUttyLCv3OlHgF0BM47rqC2udD1m3qu3xjDD4OyjJY9x7kA7a+Eok
FThf3T0BXzR2OiZeqAY1tnw739hGgrGwGuGVdNd+Y78MmtTXvOrDKplzsZa99ZXP/UJ2bXnXL9W6
Y3G9KDik66pQywJ4eZcOj+a4FHvN5ukMVUnXZvFnNpsLl6P74owot4hNOQxlStBNYx5oE60NJPiz
HDSkqzgb1jqAre1YJ9dxJMA+pHd5NlwiybM9ShdzWJIGce7fmFFRb0VGPzFWI2E4zTSv6kI8jAZw
ZL3Rv0LTftOt7EO3nEM9WtzzUUc/oZmfdqs9tQpelef5U464JjD9/n6eO2MXi/y1nO2To5WzgxV2
lvi0XXsSt1biVS57Gn1ez7J+t0ZYnaYDKEB5r3oHwZk2dcGS0l0Ny3tjma+151t7X1fQOt+9Wfqh
QLAmUQg3gvqc3QHDsPkD+0Z70N3uXhYdueqVnu1J5Z0ZJCITy6X1Vgn7vsvRLI3kh22NPhw3wOWT
TVJVeLpj/TIgWg4IkvkcltnfFA6VZWIOmyEs3X2aFpDdNBtPaV+zBNHp2EZ7/GCClq+NFkqEHo7O
JZ4cTEFtPZGyZMqNZdZ3Y0EBM3tI1Q1S7NK4mPicYgxL1ryJnWTezImsrnJ3PMx5+JYXE8s3zc4D
1pSIKgAKrhHrfQi3oAsLkyVwinCLQGzei6KpD2Vlb1N07RvpimzreTR+nIfLrkjqt8ZziGHUSLYP
dyUlOzAlckKdEkLPjIYPtmCOSlArWABhPrwVuL23bm0cCKE8g7xGjJ8n3o4+GVMd+ebrcJjno+z7
7ylesq2sOutoVha6eWTIjPyjYi+LYnlcxpzPZpy1rYPtYKVR3K8ish4BFA0HwgsJ/DE8Ni4O+XmZ
fwz95aTFS45JnP4mTJdbQuc2BIreexp6vaWl05M9In/q/5uqlw+FSdZRirhhi18tXvVSa9aJ1X2I
GiB5TgLZbvLIzJoNiOF4qKaVkcmbLjZvinDRN2kZD7uqWk5sTs+48DZsf24GKNaBldRM/5hRrMCq
XUgI+PDwZWRtyEDC9WlTSVfHwuhgefLmAK4zSTdLTaSVPjKTTr+VqXaTNfF9iuUODZ0ugqQxxKqx
q8+MxVSU63CCLJu1aswEuY/NYjNmqAVjuq+hjy+h3+MZMPRhM9ZNuC7D9IQUTt8nUxI91RKS3Ri+
CpqplcmrS6brV5N3r46lQUvpLtWPACZYfmCk/IA40ZQQ0OwJLzPxYjHxSqam3S56pW+0LL4yoIbj
tEtPWUMlorR2jjZwgBkGZMR27/bh2QOkhLZxPrJP9Dd1qq0Sp3jO5+YyFXAXxEyEboMaiA/0WLfG
CVv8d63yvsaJ9lEwQSGieB+2ySd5Y1soWN2uJf60rfjTsdSe9EQnG/mUI3xoehcJffrN75N3MhPX
1cCIOWncQx9jBnA6L1q3ojku7UjnhnAuzunUE0Y/08LzHIcmbbFpf1oAb1amA80zifiPOcAHuKNx
o1hisEgwp3jxjsrtjQrsEE9gjal0iMkSx8UhiKGv4mtRe6vQH58Ni29eTahswuSUMrXaWXn3AXjx
OXJDdpHI2XU3R9JfPBkWF56PtNWRBpx3z7oQZvXYjCPtaAsrRavqmyr2z7jTCW7DatJrLFndxGH2
a+e7vpzoS000ucaYr+guUMBDtNnGIa9Osahgj4aRxFDzo3lApSR1J7LRGMi7paqH5uBa8jjOyZc0
nHgbjd71DAe1XHatj++VPcRcbIzp7Gnpg8yY30NRBy7mObskGfC6uhQy1vJueeNWjNG7J+IzzAkW
o6Eu+bDqb9gxVTrqSI5npQ/NidfnIZoZq9G/PRmViwMCUH3bBN7eirK9WYLF6NKNWofcFqLJMUUW
scCDYDuG9iyHsoTMBlG+ORIzNubMvcbBG7ZlNmjz7cynU+hOrG3skMCqaHHHmAje9FjiSF1NKRpR
es7d4kc09DDANDdB35Bq4za2yw0Sy34TDuVL6BlLUHhM34c5MlggJY9WU9yPUMa2BEh91UnzbMfQ
58B28pPG3dZ3/IN07W8gqW+mmBhlkI3pWsZdvqbuatdpirbWGdHlaAxGuE5m6kKdi41ZveDzU58d
tXnvs1zyJcphaENZZW+mzr0MXXzt9+5ZRS+sijb5ZrDZAgRwhqhNdVNW79wtM4qGbJ0W3mMbx/YR
pNnnQmLzbkl0TE2Dt7eH/gbbF3xtlYpOK7Girhk3Iiy+N2O+twBIY64ply0oibNdE1uOWJTIkGHt
5OW459w9+yPJbLPDZee07b4feKMTk7/QYbWQ2hArW4OkuHYhIqZKWJ9Q7fpG+pbWwFvldYreMXHm
FcGsB6fBPel7w0Vri5oRZXedO8n3am7Q8hn43Ob4Ukb6xYFNlBXDxTavBaM6olw3TaNFx0Evn4nC
PnQyfu3c7rFCXopcTQ8IJJ2Ee08Q25q69zLX5ltcwcpm/bO18uiwzO5ySPrsjX/go1StvUstGEhE
7CdOhTc7L4fnfBlYwNTJaSKsd9MOBIyDhLsahxmfkTBeqkEnKi29HVlapZWHd67teBIQ4zrlObbk
cz4yA/2nof+toae//euGfpd9Fv9lOa3zRT/7edP4l+eAJPqNfv+jM/99xWKCX2MHjerJcUx2ML+u
WCho2RT/3LHwRz/7eVhGnglJn/8xQDegQvwbzg3w3P+5YgHWza6G7+lhK4Go9Md+Hs+Ea06951+b
YH15AUCtEEiitDSWVkgzcCQptW/MLJtbAk1Q3qDGLtYLahyR+Oem8FOui/QdnOxxpliAKgO71baZ
LFVWNind0XIoJqsO+sG/pU39v+ydR3Pkxtql/8rE7KGAN4vZlDcssujNBkGySXgkfAL49d+TlFpq
ta7uhGa22t0bLfqqxJvnPec5n6rnFgwOIfre3GqeSZsjlmin3uI43volz5dK22lJ/uY0o7VU8JEo
ldeZmWBQ7poV972dp0Pf4rq7sBq5TAIB9iWdttSgXppMQImp8wiOnXzT69NuMoaGYijjDQvzYiTj
vm+wdVe2t58b+c55eMIJlTvrkJ/tOSAqB3wFUoAjPprJX2VsPwChdBOnIVmHGXGUFsJyaQ7Gru7E
cci4lspOx9JiaQ3WMa/cE8bhp6U0ZtWK+RHF4OTPZCxliuW5yeyGKgxrEdvmNrX6aNNkFo/uJsLv
LI1XP6PusKXQsrY95kjRPxe47+l/YeoXV7Q4s9MGyLQpWuB2pV7uJfUiXAzBYxoUOq50aQ8LUfhi
yx7aWnH3BTAeBDQ2TteFwyaWDOoCv8q3qRj8hU5/Jc+ZkOUKJYhwKl/x0kEYMIzPztQOxtDvZTdd
pMiDjA0MZgPpNVSWXgKEMVJaX7idj253MWf5R6GV8om/57FzXuaComb4emTpznmdHuAG3EqS+WRk
s7RdGUZQx8Tnyp7HGAChaEG/s4hJvHVZQJIucrx93vo2J/4QbxOIOiM78To4mdh7Dl4mhi04B7Hn
91LBgdahPwCbC25DGgMCQFmKVV0L5IBBAayR7+18lSustTEJiDoe9WMXXp73j75w/R0kDv3p3+Pw
6zikvuO/HIenj+b949tfV87qo34/DyHVOOyVf0BO/n4eGr+Y7KFthhHPcCls+uM89H5xYdewvCT+
/hvD8vt56P5CwJ3uOziWNi4gQm7/4Dw0zT+7o1WWDUSxWmF7nLAu3tc/n4eWZkoa6rPsit1I1xyQ
bNhNJENha7xaMk+ui6+hr6/T+togP96bBSdJsRv3ez1MtyW3zViauNf8h1iNkRXzJKbc5qiPvMSf
wigdOccgvyPmm0vO1qsp45LuYI7ZVaaD2RFtE8XsatTyYRF45mtIMHCJOeRY6fOZinaElLB54F67
5ZSaN70PCVKX39hP31BwySew5moXjc6G/Z7A/BlQdJJ+DqIx19DGWD0ZXN0qEFs0FhdncLvoMWSY
VC3ulS/Ca1kAynXVijSic28xNv5ucPH2FBnFQCQ9bPqsuOLQL0RCNF8KUQ/rwLHTXWUV+ToAcMYd
PHTXRR0/9SBIUBoQp6IMbMZc6YSP4zJfQDjD2iPdLt5h1I+AYRC94w4AK508hZbvqGei7pR8xbY1
jPxIc0N0A6dnfHSHRvlPCnTHMXGuwHzyCDES45IupEM92uaZoxIdumWEdWuv2zYJoOBYFCzQhoIv
bab+YxjU3Y6Wr3kFFp9q3sEAhDFmICFToyEH3XfW0a8ahLwCjFfE91DWycH2NBewUNZq2cZEWhwm
LzPeDBJXq75X2II0PcWsdiCN8xwh3BXDkaeFa97o2FxteOr026rFo9VkH7kA0tJmF0LXoxXyyDYH
erb0HOcEEvPUaiYvpCJZOVV+M8Zs8M3m2dSyi1QmZIfM4s5C6lojE73b3MDMyLukMxBPcNx52RnZ
JSHjS3acQJMTp/MJCxxhF4DVWZVip7YJu2VTvO8LbqBjKEqOcdNfF3P0Po8yWYRgSVCj1CKzADHo
kO9bUofxjibfLBxbz7jjdMSq4nHdG/Dfiuk+GkGeTl3prJIB2ADkGmtBw8Vl50q0D90ROzo3qIj2
cQMn/Jcpnzc2grXHCnPJXQOEisMw4c80WlHMOKz0Ub/0HLKYGftX7GEZezK4em4y4kV2CFcmeYvR
szBf3JGQTTiJW+kRag4mGSzDsvUWNRYyLAm0TDBrkbz2Poow+sbqO2f5nC/ZUkOG0dJz75QUUECS
NfTeYzKfirWggnBRChlsfBVDM+xoVeo03qxChzXeQosE4ZokBTVxKNtO3P37/Ph6figHz9+P06fX
b0BS/vr8UB/1/fmB2ZOSZMuxDZPHhEuf6R+WJR0GMgkGn4pSk5Odf/puWaJN0ONAZ9i2fGwuP5o9
eX6oehmOCR4xFCv8o5qZn3PKX88PRU3Gc+rQ0eqrb+LHHIOmG1NrdkZ0FQbFxlMiUteq1za6Eo3l
j0B3F9XYBasZ5clTElRZRCfOgp2ONmUrkUoGDtBw2S4x2R1HgTI3B+mpBDq/MtC4SiV2dUr28tG/
sNzw0k+I10IZfDd6GtM6v7/sIPgOxvBMHAHHeLZ2lKyWRPGLG4ABHWT00JCagFKSHaNChksvpHCd
b1tsepQ6oSS7yDCf2XsQ/FdyHrICNkMIvhuWf5+0bn9YucNFWsmAvsBWXqAMiiy+RiZ95XH0oKnb
QKBEROEkOFbRFR0lMPZc5DlZ8Ee1nniDefgeo0YW0PlhKPIj9kqqbCvjDJmCUCWN9WiZqRI1U7LH
qxadE07iWS+tcZEkcKakEkNzJYsSBqHtqpXvqHJQ542ebGPs4zyMnWmV6+ndgMKKOIYopnc1P1Lu
XcgiuG3RY4vCAFwmG2pN2XFoaLYx2m3cjcdKsN7wiJMtSMbtIwPYRiSQfAltioXoHVSapPVXrDnn
exaCzMfC6TEVeCkdM0jITBnpBnPAN1yx0yEaYnreS478VonPlvS1dYUe7Spd2vYrei/C8HpSonVc
d8FminSE7LwIFpESt0slcwtXAxoCNjnxqDesX8jAIYdFljIBx8UGyymyC7o5c269t1G1kdJDBPl6
BgGCzJ5HxXsXxOj6SoIHuF+scyXL47V/ydHp3aipTklWoeIoEZ/N5SZVsr6Ovp+ERrcelORvov1n
oRevPHMYV2BteUH2nnOpq2VBY05Uv/bze9/oFkJhT0+mWi6kas3Qq4VDolYP8+SfaLJhDTi6H02F
yaMJjMtSduXS6ngpM1WMBFwTpPBo8mlBcG9LNh2DWnkkmKLIt3j5rmvHfNlG8lZTK5KQXYmnliay
IDtNGRMFNWqlUrNbCdWSpbZze8dl6ZkM9ZvOHsZTCxlzbE9aoSHlgwaAYk2NIdsbPFYUsUuvxkfV
Bu411NLOPigwh1r6OOxXx2aCnyPZXcWPY8R73sx8Qdyi1xEfx81kddbZk8WzLKsW1TDBSd1iw6md
6WGM1Do7lA0PRNAhEkFTiG5CjBPMmr3cytwChMbDmbQ7t0G6L4+w5mpKRfH3IHTdEXm/Yv9J9D5o
wQ6Un0lX35oW9BfTPw4+G8QuPc5zvDWz4hBr8UlPSXeICS+vnfcsJxv7RheEgw0+76YejaNvsab1
YhYvHqEaN+MbBzzYSvuIL/rT7bwNpZzqaLLXIiymg9CmVxNi+KIml7qoRxJPoHfcA5nWDWV9I8v4
1Ou6x5IqUkEAh5TFkoWGuLWok3sQ4yifx9BEenP1dmh2Fk/rlygTzqFrSeifMYpF/r6rNfsljFwz
PKVOAm08yLpVH4SPRgxR3BlNXhphlK9DNYXa0J8w7DGZSl53a0dNq7wKn3uS+3OG95vMyy5Wk62n
ZlwJ8Zj4d3jtzzNEWCaouYAvyaxyzt0ou+/VtFxUCcdTxszRM0pHjXfduORBNIlTLmkrmFZZzlbY
u7GC7lsxDQ+1msx5F299RvU56ONFzfAe2MmxzyZnWVX6qzFyjouSvT0DvwFxYdl1Yburc0i45de1
QDeXEzMhwwZ3hhKTfLYvlVrdWuWrJ4Z4bSkl20PSTrL0zUTiFun4NiJ5lyAViHg521Cp4ZHSxT0E
cn0kQiWgawIFhBxJQo1Aizb4VyTSk82AyO4its9Ftw+V+u4hwxs0PIGGRpnPlUbvFRL/IKp9rPT7
Rin5pdL02YkWi9RM1p3S+yeEf2vQjWUhsXubLAWS1CF00HgXIcOqUHuDWm0QAmqt6tiEBMVuwYnY
qDUN2wbWDoTSz4I1BJHAcglE/zH1h/dUbSrkmB+l2l0MY3cMq/nRYamBQHo1qS2HybqjUnuPPq02
SaCzePHZ7rIZYX0SLWkHMBY9a5OSZo0l1kf8T/mKPP6tF2TWwmDNQoVps5Fq82KBNUjVLoZeMpf/
cNw0rGlsta/pE0LtCSucgPpyHH0GmD823lpyi7z1WrPwMTHDZ4gnA7ugzOJPraMKNWpN5LEvKozo
Iw2CncMeSWj8a8hmqRvQmNk0FWa8/Xee/HWe5Hr+9/MkUck3kX/r/sNEycd9nyhN6xflqFJZVjdw
LIM89O+KhE3+Fc68RUBIRVP/UCSIDymkLtFYwDvwaEys678pEjYKh84rBVniu0/rHygSP1vgbaA3
yB6+AQGHmiPV3vHjPNn1k8Tb68hzrx8ieqqnG9H++ur426Q2LY18kh8i4Xj2deAZyCcMrqqh46dI
uIHPEcx0W50tGaRgsG2n5dyJLbO0zrHOs2FVC3fMrmeRuP5lHMfeE4qlmV1zr5uWsV6MJiXGFRhv
sa/j8SIJ87VrJes5MTAozBa3wfwcOtoqF9p+aoOdVovbTq+AsMXGeq69mzFpdxSNcmUuxk2ZdAbP
/vqgVbRG+Nkb5+urFoarvqr2aZ4+4fVmvZjEV1HXrn0z33txWy+Msflsem9b5Ylc5Sio26S2+6VW
QLPpHLmrB3ZevUeRoL+rrRZKSfkUufpeD0By0R6PelB+5G0QYwy2MYkXHyGQBMbsCgCwPvqLmhQV
Oc2LsPPkilI2zKHSRCz29DfF1bBs+ASGXd4NRnQITfO+GVEbzaR7zAqemfEk31vXPkx2U27qtGKk
H+UqqD2LSu7QWYaiuW2SEk+0DSI3mqxTERFb6FrrOuchjObeP2mpRbW0NzLQk/nyze4T8idukAS1
wKvFuRT20ZNwfSoYeos8q9Odq9N4wiAaLce0L9dJZeIwHvxsYXN2GvRaWvw5GWS1G0dq2K3N/I6h
GBianz1rIIKoGqn2Af3nl3knDR7e2YHmIjjHBoV0lAZQ3fRupWIT9OyqC2ku7bHmDM/Lx3Ae7GVY
w9YRkXFo/L5ZdYO3nT3nvUowQsupgRtpv/ttEQMTST79gnVeROHWitH3jrzDp52A66mTD8qQJDaU
dBebMIIN6skFD+jBbN+MNNWXDRUICysr93mS4VAauk3iq7CERS+m3XZybWt6sHTK/ozJ936ISGJp
eUf8M26Ul+4W7aJeMfH0yzLEym2D/h9Q5GelFgd+ykilQJBkVcdgeMx0NojJ5H6mafDi0NWkBD8L
QG4GlQ3YyYl6r2YZpUm15Fy5JxZ1W9pOBSrYApDleatYxJIX6/gypDmvHllD5ZP8Pjxvfs7c8M4d
2CcMaflhG9LdDI1+n0U5e1N4caOmSoCjDj+N9tlp/rPmT/h7s3jpWQYuSaScgCmf9Ly57iyiV5XJ
q38t7aYOaQTAQkfhTH3nRBQ+sOfgVU5vwn1GPHLvzJAmXEve1bWJJl59FIRduAXkIBerb2ii2OQw
zXCz4T6QSbLvCGuP4JNWuRsyf7sPlECOSDdTelEI9ueadtP0aaA2HwBSVmFBkHyA9UiPhFg1QSWW
bQ49BYvJMqLSdIRMb5PbZzfE1cajnIf3piILXrbCe4p95yPRx3rBscZ4PhubIq+WQzwdWa+9amN/
lF0CtrF/jnqbGN1s3TSlsQZ2eCMMay8N7WaavJWrRQ+wiZ5bOl6FoR8DGZ0BOp8nil3mttvMGO7g
4X5jeQyuyUtXWdtl6yLUlhkQQq9tEIxwHXFVufQIIjc1LYSg9Fa4NiWuVfTe1NfwjmlXU9c8FEmQ
rUOz/WihHJv1+Ki1H07PK3FwvY1lp16BTiVzsiehZKmW9pOmrXVUxQcvGsZtXTfmMo1gTjp+1VWX
mWU9FcKGZziDCh7KiFKQlHNrkQm7ApPkzKQjJ9Es/Zw9kW8VD1ndbkCaP0mZP7S19kyoxbrWe2c+
88CrN01ev9amsY8b69sY+lf1PF0GOR1oZYG84OBBWiX14C+1NE82xVwEd3bhT6eoiG+TKHpLTeqC
ZAaWqGFxzfKrA8ld4nuzO3oXTP6KMr5LEpGuAks79EP71NNriu0J+leotYqtXVOFm/DsWQYZZ0Cv
5e6q7av5SuuYDN2U2+dE7FVh1FjrU12BcNv2K7vzih3vZn9V593KdodhNxid3OKUEaAixLSVwGTY
PgFnoGkUk0pOJZvMA2PHbu0MFPWmhT/FsnybDmphpoXwvfG0zq5xh6j+1BjjbeQ07j6w+yehcDSI
uOHlD7PI+dfH6/8q++IskrJr/8//Znj4+aELMg/YosvulaTxT0920FSV6Zt1fxYUdbrGVerfuXzX
DtvL1H7871/rz1MEY4qKRbuGZbBq8DCDqy3wD3SNthU0H8lWnn24UtlDPW1i7eH/70uob+GHLwF7
I89ln8tzxRsT0Dx4sBe7uv1/+CIsgZDWCAqZaur68Yu0cZaNaSnl2WruanExauCv9//9S/z1z8Kv
6ocv8ZOA1+Eoi4hAy7Pt3xb1htsQy5Kr0ntNp//LV0LF/OkF8OevpL6TH35jeTw48K34YWo6Vo0S
66x56KmYHtZDwS3st1apvx3z1Df+5yHPgARpOrClKdIkYfDnL8cSaJybzpBsZJ+MjpiMexfFx6l4
+vr9/QsqUBeDv79rHD+a/+AEUR/z/Z5hsMQ0XEA6roeJTS0q/7hn6L8YqmSPxSgqtOuxL/2uXDtg
e9TwT96fd7Cn5v/vm08bbA+BEJ2dkAt1E//IP7hneGrG/+PlgXAdcA5BH0eP1Ml2eD8tPj2jinTq
orpLrwVxlxGLI4gXm/nKq+2AYmX/lT2d3NSVE69h6aS2dihav8dJ7CVm+kz+vw+v4lD0aI5oIgWP
s5TlDTG93jtXjFTyXMrqsrKy5A6LIEmn2Jo9slZze+3ncfqCoDxfTyV4kkoPKVWNOHfhi5Sqh9W0
53jTkcqlFskZG1h+oVaQujM6L2+fYX6lPHpHIl2oD1bvtglVWeWYGIfiC70ZzVOmcRsIU8YiRecM
rAijiCJ2jkPnrijcSLdaNtVrWYcG5ciusZaK+KlTffEwD3Fv7LJgcue11SpO6GQG87jOv/ihlacY
CqVdadizq9k99VMbi1VlCvc2cV21RvIq/I+KTmpUcdbdZlZOthS1Or8aTTc2t7XH/58i+hJmaQfp
oiJ3lzaLMRbeniyGpa//fYt+yQE2Z97fv0VvBYiY/xC/Uh/1/U2KXYvIu4H9wOWo/KKC/C4GmEon
YH1ku9ZvO6Tvb1Ji7/ynPGXh7H71F//xJvV/0cmuIwj8Bt76R29SDuyf36XssXwWTGy48GrxFPzz
IW77RdrYvTld+aA+zh6Ji5sEl+qTyG3zQE1V9jzxntj43aCf5AQbb+DVi8A1zA9eIAkP6CIHoGok
ZGxESAlaR+d2UseQKPXLPI8D8tlGeOE4AX4vVj2LARmZ9fZMulUX1bjT/OAwmnCwmWm7ncHb+Z08
ZAmHVYYw1NmKNlU7vhQU4xxETTWiraLRJmMhYr3PZNBMD4FZU0ZmvU5h4R16F9wTcR15LDMRgL2Q
VIl0FDOOuX6VWT1tkgmL8cAFpsSYjROU1KMILGq59HTuzIWfph8VARn7uivhA85z9Ilt9jkeo3CN
x3TJHeZACUjA/bfM9iZJJ4L+nnmOjOhJzyZSL1azsavy2hG1vk70Ttt2bjRDDuitAzYEbw0j/UgD
c7tPOnYVehzb2ywv7fVgmuHO5TK9SJwoO9QFOZZQDNdzg4OiogWFpYczLzTHWadsBchcBZep5Sjj
AL8drdfim0RW1qpIDOOqbU1/NXlctuu4PfRm+lJXHr6nvCuxRrvp2oi4Q7LE6Qgq8AfTpNFg18/0
TegaO47jxaQ1XPKdYVt0XEWnua9eBxGlp7GzP7RM6IqdCM0RTWslS8y4aXSLJnZdeJG1yMZxaw75
g5nKLriwsb0sGjO/GmrjLEz/QY9ab5lb4JQ0WMgmUr9X45kDTUJsgFxZPtjRqW2dakm5NdEt48Nx
VM+xK2+HGKxJC1qFJT92s6LQr7wogNogtoPlXKRjcIK1vI2N3lzPeWSwEXFhTlFFFyVXxZx02GWK
TWBTBDs708mZqhVL1Hs2uflqHu2jG1IqP/dES8yGtA2cywBTBNCXrXCm+zrAAzCGFaV0Kg/dlSym
LuvMEe0Sul3/jtgAB83CIkwp4IiFuIS86hVJdmG4dYOVY8rFASOEtfKMZrxgB5H8OgX+Oy9Z/1Wb
PVM2+9r+VZlVH/X7YYySSiU7VxZlB6OX74eJCf01YI5ioAX1xhH7+8SE/ApjCWKJ7TnfRdvvExMl
yTimCPl9BWEtz/knE5P1NRL9aWTimMA2oKxi7Jct+6eRyY6jEoD1ZFw5OXaqHb4Xmrn8OjulCCK2
mmvi+TGE70e+P99K4hUaVZaLIg4Xjoi2AYRf+hPH+6arWOaI5pqY+zaw9WMfsqooRvJ97WrudwQT
n0WEphhtYj+6MtKAtThLZ5hzavwyyABlvNUwbc3fcjVATD2HjB36zxCf8rUPnWJjy+55FvT0mTAC
LWc4J7Kz1nWpgTmETTIPxOIAsJ1sPA2L3ssfSo2WiaLRP5Kq/ZSz+c3XKiqZerSmxhxvC38E7DDa
zwShHpvZdheoErR3uSClZ3AP7jQdNTu7cQ2WLGPJbWYEGezBceV/tJ9OCKljmNv3ZjBoJSBcwPYI
31EIz66ImxoOlfWuZ0/OdI5bV2VMl0gszQ7TcUy4FiMwKdbJXjqZPhYLlsJWt6qsSe6b1uqCVyNh
771ORox5cTkQKlCMIcI+Nd1wBHQ6RSDSQ4Iq+heVyMQloCtSkWUODSeQ4hdNimREDgLX8Jw314Pi
HPUV29dKsY9MhuFF28BDihUZqVCMpKJ2n8QMNUn2GK1sRVISAjdDp/gkgHSLdaiIS65iL/HahJ6g
eEypHJaxIjQFitUUZnZyChW/SQZ9y3mPYDoqulPJwrZd1Yr5pMWAkOlg/TQVD4rQbr+sFSMKeMfb
0PHnM/0AGKQiSRn0uBOY0/ABgrgLFG+qZ/O2LhWDqgFGlSsqFbWP+dm3IhAPX8wqbUrWgVHaW1sR
rbKhdbZ+XH8UinblKO5VrQhYnmJh8ZujuUfxsXxBRtacYGaFus3vhn3xolRELesLroXXgOprRdyq
phIDH0aORaugXig9zVEqRlckoXUFMeGEirXLturcfM0fz2Zj7nwm7FsWNsAvA8filnQlEDBd8cDS
oCJihfXnTefYpnW6iFn9QxCLioZGStAQa+4tAMZSHN5wpHuoY4o/1qQm2985K7t1/AUoGxWrLBic
Jv3M0ZB2vmGY1wIQCw4Irz12pOuao1UR3tbHO6rEQG3qOSB4K8iI99QPk4ZIr8+hmk6kWLfxuHSG
9lmL6sdclOitPkpWDJiI6z3uulRHwfem9MEoBfDRNnmZghkIYhzFFxPYEvR5GA5zf4265C8cN1fN
NF69R2eHqT+89Hq4kZEfL8dA+5Rp16JvJ8+4Kg+5nT8pKNzWajV3CZBUHSLBiV/Fvs+CT8H7lA5b
WPyFf0dS6lwb8QFipEpzi0vWRO+mGzwOuUbFaTOeu7nx937T7MTc3rZzcF/HbrjWuwIBrUcnx2oI
IC2ZthaciGVasjrxi/Ioybg0fnwT6Q3DQhSSfc2t+ujoM+GUVLHrzB38iUPmhVe+JU8aGYHVBHeZ
dwpmB8yMxmJK8pLAcJC80QpYvrhZl+4ia0jYkECOH4GpHVxWejBJhNpZFW9BS4Cn0FlzuFZ9pkHv
1gXktE2BAxyisuetLCJcpZP0+Za0DpmqczfVyJkUChldF1zSF9wdtesvDNuss3Jq1Bft1KU3xWa1
1dsquckxyKx8sx0WnDD9Fto8ZGNnDLaVbUzrOY2BU/f4EfTQm7ZjP6XrEGoM983CXgdzSqi3cT7b
KYKZbc976luu9LI+FlZ64fRUPVhSN3EGWfnagm+6yew22cQIiNs8DI0VWT+xM90RJnoFSDbO52WY
JObWtEaOerggu7jgXWtKVMu8tCKgAyq+XXFK6epyK0t+UqcZnB38fkqVUsPdghwCuAm5EuILGHsW
GCwVPNkv/r13/rqGRsv5+3vnMSmj/zDpGHzQ90nnq9/FpqGFmyfB9p+0IdxEJHTwpXPlQ/H8fut0
f4F3pC6DPFTdL/3nd2kI1UipRZ5JssiD32b+k0HH+8ulkxmMz0fBjO3ilbSVdPSDUGmEVjdlFd4u
Cpis5h72BZDhZTkVxiqG5AtujWxLcmr9zHoCdDmS5ZH5ta5ZS5pp8oJAMHD2ZefpGLIm322pWxIN
NhGPCwCR+BYhB3r9gVc8nhCRizm7FtA9KowxYI9eRml27Lesy8kt65WtkCCzMvpGdfzGQ4fnnQKH
sDqP6fTSuDz2Wza62RIY/sSY0N7GRvhUfRFIaDolXJ1/kUkympGWhcKVcOYDK6BeyhvdpegxMZ9s
bXJ3E3CtxE5CqFS55MijGCQsh+rNpIEqGvBRd24RLo2q3GBFl0tRpLs61XYJ4Gds87AlrSbd5mCk
VkRh75NIezdPVTmdhA2ay/L49eQz+6Y8vDNq/7oQ+jqY8DnO10bn3suhfcRjuLZx8QWnf9+IX29E
ZQf++zfic//2H9zF6mO+vw+Rf5j4bEqGeFNBbf3zjQNplk0orzT13vpBow1IpwTk6MidKfX2R40W
SjqmYiPgnxR7B+z6P9BosZb8Vf5BX3JtGzczoq+i4P74Tsw7QMyjGPWrLiUGHJRMk5mlHU2tVwt7
o0LDAOvclzYt46QZNkIkBg4C+6AWaDxzWaAm5G8ummbuF7YPz7yV7naQ/W3uj9WpmTXS6TocVf/d
GCjFMwuitW4frmZX7oPQp5+PhH1FR0/fhvmCXC/7Wmnfy7LZ2Ulc3tURS/Soqt5dNr2ir+5JCqua
eytZuFH9nk/K5NiCtWEK3RFBpxWRLXt5jUVra6S2fdYsmuJdCfBa6iEGMi1caUYD0ievUQW6V8i0
72GB182cSqCyU1Xv/ZIlcy20G5oT83PQNZTeuXGwyC1Gj3Bi4x4mrr2MCHpR28OFYiSE1wTWtzZx
r2OnvvQ7pmqk2afEtO46EVQrLTU/qswZ1+Ec3TcDtgnUn95l5ixmYxfWwTcd6M0ijWN04fG61NNT
SzSmKKNjOgd3Rkpw3FHdO42p31VeCquMP0IHU2LJQ5z8YOe8Tn0Lo9Jrn3zuCwvmCgNXKDAvWz+r
PB4Wu+Q6CVQku5C+PEwTBSRTWX3qijrulpf+nByHSUR7K21vejdAMHZ0uKtNAaHGxWsLKWnhVQj4
c4brVdN6osyBSa4w6PIWDyCl7uukbP2rwKymbV765mJwqYIqOW+itvkw6wFv2+xF11qfQZZJnPeA
gf6ynszPHHEFS6SLqhSnZnCZx2hPZUlAOsyoG+qcItuUOSBFzJxXMRmSpZ77V1ITOF4Bki6iSXwW
mW2RyRaHvjEvyYmXGDbmhmpOG7MrbtaF4WjbdMREMhj9i1vFD1mW9cuGjF9txhh0VadzG/HLzctU
hfTROKEfA658K+gm7ZFkD3apXRt+9WnH07qPx21f4x0pUfWXetdYezev95VbHMbOWduRBVsgu7It
yoxZg6t6q/RRl+G9U9BbSjRR4H7xuK0DS2wNEy+j2VId1ePmrcF/9Lp+U0zdQQflWWfpTYJZAqjU
s9SbN+RUQd2T0a6mdrj0G4L8jSuBB+nlyfH55TqsU7iw2VtXJ3RDzp5m0si70GvjHcYHqKlueqzw
ey4Go9pULbwq0THHT+Owz7iYLIdSp/ZTvsX8rhl+q3BZujAQhVk9WWV1CuASuj5ku9hqsQ2F751O
bVKD30rLZb1ELRPogf1xnLJ6OeEJ4enufOukc5K1iQjppxd1iBshIeu7zEyyq3H74qcMrUV5b2Tz
g6G113x/9DPZxG1kcKIPlMpSs19F84DLychOfq2cuLN+0wbWy9QF1VVkK7j/qI0Hdi/aXhSyoTgh
uRiy+tbutY+4ym58t8QvSy8kFyJL2bs9PsvcxM6uwIPchHW/Si0t3xeFeZ3qgDvQadxlDUFwoQmP
IUDwIp58YrpkpK5SgSjL7SxfhTHeGwzK11wDgRo7+jsp3XT573P210ULY+jfP2dvkzajUrz/q7pn
83E/PGtt8jOIq6hncEt+fNZav/AU5e7pMnmyj+Gffht6bVM9oMnWABeGJ2HYCH9/+C6/oqGYKmwd
jwNuzX/wrCVd+POz1kYnoTmZrQ4DAaP3n5+1RtjTZ8UJdx4b3duUgy25kuMWgUi7I7PCW3GaeEED
6rrih9CPek7vBMwxL9vnvi6ekiJsT0waKjxj1bdp79o7Z+zbS5mF1beKitWtl/Nqj3MgD4orkSyr
QJPgvw1tPLfAb64IFNrPmu52GyM0HX/J/Q/RuwxL+h6qAEUuvpnG3MG/TYmcSSBwO/tucd/5k/Oc
D15zK02nP3VtTBd8r4jxXk900XAm8WD1escGtjU/iKvkT46elzuIYXChqrB9HWh9Wccg6NesJuXW
SyVWvXiormVasveEKBIlUYWdy7CHq1iDcPwuWqpBjwYQIozSQM6Ams0db2KoMml8GSNfEVwI27K5
8uJK9a0bY3wbp4FKPvS4N+eOdbC89BGpOHk5GkYbWUX6HuGpoZJ0WplRztpKK4mIJn0+vaWDWcOR
IqMX1OH47BKXeMV44sBkGt1yE8Wuc5h6d7rtpJhfLcdBFC3NREdo4rpLf3qwDasheuOVlJDJmefX
sI3nDwKGT41Wb8ooOWgKq1sYLiF/p6l2+FEj8DRGP20zqtiOkYHDOxNjtXI6Ij6LsRD4xhIZJZsW
NxQMk6EgApzVj7aX5HsMSPdWRv1dpVHvFOuSQhC/6RA1W/fWj6ti32ldcF/ptXs5BtCaClPwrGRY
EHdhqxcfLY3tb5ontYOVd/CyxgLXkKGtmg672KBp7bjGh0PkdgyT6tPTRLtnB1hyi/LbPdKL+xLN
hreaA0ywFFqnF176P+ydyXbcRtatX+Vfdw4vIAAEgME/uAlky2zYU9QEixIp9H2Pp78fqCubUtnl
5bkn5aqik5nMjIyIc87e3za4uShV/Kz5VuEO85LBlszF89yNyhWLN3B1a/EoBLX/CfjW8JATt7KG
6hPdKdFYXoc9Wsfc0S38BIbRw1hpDI2mkBO2oBPNBl7DNFgLoFfuRC/eHNljPdEP1jjo4HDIVuaU
ldobxz9oF7h4K6ds8CgPuDb/3Yu/Nx/QDf31Xnwsmv/5v3nwlr79WQuCh/7Yjhd5CjWMYZCXYVHk
86Mfk2+NKgZbpWlYiOTRoLNT/uhBkCOL1ZHRzI+M2d+3Y51UKUoOidUf4CRE+H8UPs858ZM6hXmO
umjUdQof2q3q8vMPLYiYDqw95E587rL1TKvSD7dG9fThjbn+T0Ee6ro/eRYdvjUNFzZ/3eQ9+Pgs
lR+liFDM+NwWcZR6ha3mmFQAgbg+kZbrWG8Id5qEdrQCm9sq8G03nf2rHgLTrVqGN2kEDdoMo+Og
qoQ1awoZn+QgrVItUl01CPcDtICuD09R7+zKTjuq83DTkFZXzcXVWOsXRDcHNU5oYvZQMWK1cvCQ
0nD3OxqbkXBe2TSZ8yQMQ+OWDQeIxbcIQQxYUOawqxr+BQRhHj9aYJQn2KXyMChztvWH0fJaBctc
7Agmot3MaZC0OdppYTz6VL0cRqb+WXDVXSkoyLaRmoRyHXZVma6LqUqeikJDjsllddoFDqi+vabD
X1r1un2WUzONWwva4GqUdkhTXy91+3EWlUSIL9JtrczS3GrM9ucK9D7xK5XbmVk7+SsVxP/FroRy
4veXGDxhKi963mJxTxVG5FF+UrIsSiTQAtFOT43k0I2VtK95vkb/bE4B7XkxFVibUM3fFlZtjtch
NRjdzMm5cmppHdB8B8+q1Iyn3goRNqXTfGe0OR44qA5m7SI1HOadTTaLdNWhcR6KwoYJi6xnrXQI
IEQ5hrj6MMdR4U77Xpj92ek6a93ynh859JqXJgy4P8NmmkYqKaeK9gri6zVSMFpV0O1vEfAfYnWC
kVBozm0A+38FERcA2OSEm6LMAIclhtcXGpKr6MnOzP7IR9d7ssJAWzO69hq0W8icxugggd6vrXaa
t22bauzAOO2bsMcdNlXNVur9bjBypOajaG6CMtbIGslOUZ4SQt7kG8y6N0Zh7u2wiz1fpjskrIkX
6Op14wx3rWb1DwiQ7W+4HsgATTw5jPJbEXWemZGF5lfavap0G+yL4OaLZO0ouE7tZhWPbOeNLF+b
pn3Lo/ptiqdHOmJerfcHhxRHbnz07uetMaqnye497HI7lG1H7vMcFP0XldtKlSmbdNDWOkPAupu+
AonBcPvVVzvNG2Sqk+cCFDsx+2dTRl/SWRpr2cAGaHE1k/M5H0Um9nogTrLsPCrr55KPr2l1Dijb
Wvu93AA733XqjPGwWRMCysxWrVaEquGLaHJ1H5ugbbQp9Gj4XPM33pogw70xmgMvqglxNXo1OmE8
hJ/mi5s2zRuKpPYqECOLGTRoWo0kvvlYa+1sunL4EqkFcx2n9kb4pXapH42xeCKpzE1M664TwU1e
lUeL/90L55h1/U3oRIdUlGvhYzANgpGxWqLRbCDBraup1IJaPSdK8rlItM8lzk6u41dFah/iTruZ
B81LQS8WaXrCDulWaTVdzZbFnYMmh405tkqsXeeYnlMT/hpSTSHaOdjFPO2rOc8PoHCxMPoWY0Yq
uCmADm+OerKtnHLrN+jo54nL0X/febnz/+fOi/bx3VCFVIp//rzzhpOGnZcZ17moErHmmjOhcKcI
zoDUHttMJ967hwtahBn5OfObVlbNTVUl6r092+kKH+ltV8dHdfS9xLGe1LFlLiq/5WhcsEJj5yCI
gdyMSd0UM2s69Rmm+WbjDkz+VkbVC8+y2x3wvi8AjTsXYsijwAW7RlYONx+TMC0Gl0K5GfdamVir
1s9pV9VbAcE/FQTlZdbrlGZ3uIsOHab6uUkPVQdlqCyOdiOcbTtMsNqmaCdImXUbcgekD/QtNOJt
AEjAa9Tm1pg6zS1DeVBDh+81EkWcRhqOg3p8iKPewE7PHVpM4mJEc+5WUk7uGCWnvpzPYRPvk8Hc
mtggvIiuhp+T1tDZAEQzm1hVeNNmUB6xfvfwj8QlSocrFBo7zjUMRyVM3mKiXRjXlyROb9GQB6s+
71NPIhBw9ZIKua6vI73pvWwm+6yu4wdjMkisG6MX8mWuop7FNLJA7XreJEm1MFSRO2YM57TnOJu8
TCd2wDF25Cee9KZ4LZylu0G/KnCUV19jxF+SJizpia0SCqm9Ui57WXuMLPlJqIznVXQEUB6fp0xo
btxMyRr9xUWfTc2DU7YgsmN7B4a1eyx0fbiiCV/DVRiy73Kdv1RRL0r5j5oPLiISRwgYdqi8xNL/
ckWI53oYaxKqzj5Jznp8gKPw/aL6l8/w87SFX8nsX6PHTIN3me8st62PlxBdzrlpO0FwTslLV+QF
k+4uKm/rIWYl0C+RFenf67/5AoqfO8v/+azL3/3hgtWVSVsauqKc1Cm/MyFw4OnN7zgVP5HzRbHC
RMVtbfNJ+vq+70C3Y7+N+VYMCws2KlzS7T8VinVEIqe6GLo2qTNoX+yQJOFMjR+knQ1eQDi8lRrP
0k/Gg5bSWGY15cW6m618bVMUeVqJ3cTKp2nfjZb+pchjlCtM+ddRFH1NWavrSpWhxw48eSgd6Ht1
zl1npPOW/fChC3qxzwI8i1P7GlvOjkPpvqnrjWyGZiXMeKerobKOUfCt0iHPt2jkVLeCqevVgwlX
KRpvl8bigthwKz2QKwiPVyz6b1UD04kW7b42lN00GPfjjPdJTQ5mC9qRWOaAGbieunEb0QLozH0y
x1eCdO588oWnp7SYdD9hl1Wf+sUtH8XZyaYdmdfDuvdnVjCYmzbI3JCUtSKm2VXOse3VqX8qQV0D
RNtphZxdOxjvQglTdiyV+65FeYfwRXVnq92iziFNvite6LOfajW7qdBg1+3Y0qs89CY0zN7Ud1ZO
1nipaQ/5FO5GH+pDX3fnUnJGMk7e17XxhhKUcM4Iu6NpbIPSOFpD6v7Ncvu7Nf5Lb2XAbNsLaHqn
+JhfB2dlU11Vj3Qv9uZOHm2OHverGFbmQTvln4er//7kyxDnw1f4x1JnjMOsVdBnWl7ch6WOCNsm
SdJQTpTtq/wo3HLTwc+7Up6sjbpWHy6Ke3zq1zHepBf+Iz1PR3V1iDb+mYo++5tX8/PB9/3F6CrX
S1uXlFG/8sYmdcBhry0dEvUaYuIqUp/qfvff/+Kf96z/fI7F/vvhD2YigNQ0TEMO17eg3jnTzX//
/X/6N1iqwySaREXGZj///myUs0LiDoe3cl0xh6hN7pzfd6h/ZZIGy/Ovy/e79iWPmvSl+5PqfXnk
j+qdbJAl35IK/vcR5I/qnZmmscwrKeB1vOzyQ/WOOH1hFZG5iJARdQE/+iGVtH5jPIIh3tAd0hYW
mNI/aKbiL/rpO7dgkVRb5SVwnhkIxtXlO/lhCZJJryc1BLxLN0mydmJRUmVrhroYMtoMMRlGQwKN
U/NsQojoFqzZwjerAZ31GtllmZYdKxBo6VQc0ia/jUCjtQsjTY/9kw00DSIEQwswagiEAg+I0JH+
2tOMi/adjlngFUavKAuSHeYNVIt4Fc7os/HrYi7pVvTT4hPtyqV+5TTQ+1z7IiDUjVQVKTqr3taA
78NjP2AfbYNtggxtXqk9aTyrDEg8CiJFZXuQfbm3EPrg6XAOMoVmdq9jF0c4kA1x5zkOTdJjHUfN
czz4udf1eiYA9UHSIychvrKo4+kpOGYz0HnFMO80dh3vktzqyemsA7VaZzTNofYM45dOLlI3jNZW
aXZuS/fXhl2xhVXyUvqF71lDxXjDTocNKvoTKv3KFU2L5zeM1tXMfTh0dCgu/YNQ/Uelnvetpdz2
mFJzotgMuNq9QjT8YF6cXk4ru5RunYrbqYleSqXg9mgpDKG6U2fltHOVkurZIo3O0W77TtlLTaxz
n9lqUH4TREllyrDTovYwyGwX+NUxcPJzJsZzV9Rf1Km5RVOyE7F8SJyebA1r54PQkiENxSot79KS
XKM8IrZU3Q5mc1u3tqePA4kZxlNm0S52wMnazYGMuM61M12sY+dbTsKWkcozpJn1gFASvzuZdc3J
j5prADLPkKA9Cw9pqWjr3ArPqGMv5KOtHHM+542xa0bxNA/FCXr5ysiWeavhlvGwQaF4jv3iTEDJ
1aybm65tD7EJUFqqn7ljbMhtPZV6+yUo7Hi9fPSBhXG2Jtsq07a2HI9aD5C5c9RzR4TCVMXnWoqb
asKWMCsPZqjvUwS+q7TDRJRk+0azVzanseNXb44BUzVPn6w4fCBJ8LYNlY1fmkfiHTdErpzVuE+p
crTjYIxfel4E5HbNS3Lt6PfzAVeaWxPqFlgazKrxahjDfdFkFekV9VttiVvCs27ribrBD3rzxjJr
Yi6G8Ewq+2kyRXapgWjtsyQlywPgwOI8ZgSyMsfqokrzOGgsqW7RlPaNQnUyINRvnNcpGM9odD00
AEf84zdjheFqREoMHNby9Kr6DIeP5adLKjV/C6J32ii6/3mu09PgjOHGzrr7ZPDXuqJbq8SA+CAI
/VppCSgjPTOW5MJ6XKD6hNCE2gnkza0BL8mFa0XtNPKJ046+jktl24D2KuFl75j1K67SWPEG5tGp
jbst+lnXJAuc3k+3ZnXwaQl8JmhwryuIUm5u0GJiOg3FoSEzProYfnLUK2Wr6QsStDqXghpkqLKv
JaPKDXcbb/HberE/8Wa18sZM7X1BUBxes1hf5QsN05/HFm91B99GOK4ITS74UXnMopTEylZBv1R8
ai1m5JPIejAW85mR9gn8/ivqRkoDW+z8MkdaTAbRKo/7WxIuHltHHhQz2NlKl25S9AKuGg0n0wHE
0RvsAJmCPdcpSbYWlQ8nOSqrTdxNx6LSaCzq0YXi7aGXwBzCcLwPpMl61yIIyrQn7OTip7w1YZUh
66UEdABquk6E1sIwleGIZju9Ck06I+9H3r9n/6IU+uuz//QC7uM/Z6jLg34/9sVvnNK07bk5WoRm
8qPfj30dUCJYb2liZl40hX807YkYE6pDjx9J39JT/2OGqlu/LWZTg24+1adBI/yfHPvivVb9WC3z
wuD1Mt5F28iwdhn/fjz2beYCxIqo80XPwseKQ9ZNKSsh6qOq1uZsY1dyq8FAMieFgtJ5RHfNQKgD
EJE58j62yTos2n0Wx2s4BH7jWRYRUeuITthDWjjauhDqTaDk9b6F48XsEnX/F5EWUL5yTe/DK8vv
M2TYuYpPKbXiXdPSUcu6uLtRc4xXRSfvhmSpq0hpIj0WgXCue2WIUKgai/tpUh7RTT3ojEhXqgAp
ptbg8ZSJoEn7wEQZeiwOBsQYZgJBNIjV2zIW11CtHkXf5F7YAoby26VDU0Oe8fNvU02WXkjyrG9Y
gSdqKltTjBckSy9VCuvO7PXOA1L9Wg3Z7LUq7UZntNeB2hIbUoTaJrGkhZZaMab9MBaKGw7BldZZ
F51A1k4Lr2YApth4LbJBQvqZor+q+/IpVJ1nxbDQyKT6TYIWBH3OYxLNZI/F80NbD1xBtPKs+exl
ZfFNqBplYXTr4Hegv58dyyDba9n0mDTdlVL0SJAgKqrKZGGi0juUQX1P3GnSco1KdlWjQD4JpUuU
hPB8QTVpUnJdxFRO7swkwe1bIl7DggNvAa4XMQ3yDEH/2k6S2c1HYiCxKH8Np+CQ69q0bf1YXZHD
5qJQAril77quZiOqgQTSBziFVV2VJI/LLtvChcUDQFTLHn+g2zTmCaovfL4CSDBGkI2h+l8SQA9J
OpL11cEtzMeXQBbEhIFSK1KHxikq6CHsJcNx5UWtYS7VfYuTIqER2Dhv0JrtEzyofm2rJH6JLpSE
9+rAVfL6DpSxcRZtVlxpImASYBHGO9fdorSeIaSkBhQ1y7OBTW7pq7WblPV/7hgaWYqxx2D4yDBt
p3bicejZZoOwUb22ERp1p4iPZQ5VJXCwJocmdhq/J64sH0mogTvkbydNU8/lqIsbjmbwikmPk6ik
VxEcsgQL0liJF0pQk9vAFF0sXZDGZhqbyUZt1HJQIT9IXXPIv0xNsRF99KkIwOo70E8CMnbdOJ3S
C3IOFO/Z9sOm9idjt1+qR5OgA3Yb1IxIJ98nhj/vEaU+QtFXHO2SZg+J8Wqa3t827f7kKRxgsTi0
2COBXf1SoE5lMDYxGsBL0nzpkuupvM+d479n1HdJLd2Evz6jHt/ytvszZq/Jw36cUsyPmRsLGpuq
9v+zxH+cUgjfTaSstPxJtEBe/uGUMgiuhPnO5BlBLt3WD6eU/htqWsFy0UEVvP/oHxSnPy+OBXyA
JVDTTJtekLmQoH9ef6OqBH1d590ZSIC7eD6DBl+Fnf1NWxdGCb/op8PQodYmZIOFTsNH/fUwJH63
r2RslGcIPM5DEla4czLMZMwdOd5rV3+fR6KEn+9ikQQrYBIG3EMreC6L2D7gAnOuNGsRlHyfcDLr
1N+nnvJ9AkpAFtPQ/n0yOvhV329irWCeaGCYkUQLXeAwNdo6KkvgUMWQdr1rKwH876jx809RMjlr
EzcsjN38q5kaw9laCAVGp5apy9AjJTrQJ5Ej7TtEgw1gRysaCv2i9pqZHPs0vtRtMlAM56MbOtcE
fb2ZTfmaV8EG7cq9RfBkTkCPqchiK1T+ChqWa8fwN062Nsds709T5ekJdX1TM8Kaqm8h9qG5NM6a
KL91en+XakG2oKziZyIgGs8Jku5EqF59rhpTHtIIIzGRYOt5RpaZK4r+zYibfGf4oXrO26pcZ72P
/JmEMzRD9gmb4LnJ2flmwSQyiGaxbXPrYdKUT6kIwYHFoYkYtQ2Etep0ZuZB46M2slUMk8byK1qx
0RCSPgAfA4gp7Ty8bYJeWXc4hdfOqI6fjDSaeBdFQQ82gX5mKPXkxeZ8W8nWhseqaX+DFBI/d/re
1zJSOlVbtBrs4eYvnb5qqhlPj3Z9btbZC/pS7W6+Y5K3qlxw99TUK+asa3Rna1z/tFfJ515TRLjJ
36x1c2nn/LHU3zuONAO5+ZnL9s7I5OfvFIqEoQvAYJx9ERwQMIxuElQ+rDMDv76VOFznfH1TC8l8
yrfVU2DV/kHjM5JJlbmTBYfKhxiA9PVzCwJ70whUsW1bbnx7/myZvombDzE2FdQT/QGmq3UFpxcj
iTcODHS1MM5IjRtJqna2gwZay5/dyrBBaZvODnovJZXYcl1Fct0yZ44cNMZZvotHwyt05McF4QMD
UfPCRymW5BH3IeZbWUZ4CV/i8zA6+rYKCGpv9OAhQHKv6dmpG22VqqyEGsJCs5zKIIEmvvuwvf7J
afnzJsI761ikXGAFgtaIGsf55UbtzOjdSjLpzmqfxVs2AgiDNYk0THfXRB/ikayCl//+lII24M+f
5i/P+cunqYxICfskaM4kJz6bfu2OXVB4c2PtjKw7FRV1fyDrcmVVlWumNDdMI58Y6oO9tRXzWET2
JzVC4kdf4BsG1w23/xN4lBvVn7+aQfWZTNnKq5iCf++t/1s3LtO7vz6Tl7qxLBo+ZQ7nqJ32r//7
f7T3s3x53O+HMkFStH0t2sZUkASnfCgdaSZDQv1eUoIm+6NytDiTGUdYpKQI8a7p+tgwxuiCNheB
tfGPG8baciX7YwdZGsZLGYpwlga0sdzaft5B4lpJhIXC/5Kps+GfQkSQn0dNDe29Wed5cA0wxDzM
XSU/y9DAGO4oOYAQwhmH53q2mkcnNIo7x4nMmfDMbiBfLbfap0bv0PUueb5rGeIZMCLlcRQUBGNA
dy8VInHFKK9tm5B2QuO7HkZWOr0MwfwiQpLUGRDKxsbILdWtWNpAYqLnyTGwHnvwpEp9YDpH8HCj
BKg0SE4M1OklqWrGiUM9rBB7LCl0YDAmZAswTewlP25cMkSx+HbO3gjqetUPsBozeWv05m0WSRp4
OuoCfzzPdh14OEJe+K7cobb/HNr0kgp87Js8j7m4iJns7cjJXLRQKAwM8zaW1rG3m08CP0Yi8/QI
hRElb4JnwYc3YjQW6ZF1QH92KG23nJPbviofKmMuT3rdFysijDXc1WDTaximRML2AF7SBjefjiBq
zIP0mGNsny18BpJA3UZTS69T67e5qac13hg8qU23S5t4qzrZTgPcXVr03TBLu7AjR7Z4sYGKHLhh
zHuAQXVwababuyjnvxn92OFZKR7zMHmF0HxjG5BCy/SrloT3siDruW1j40h89D4qlRt6WSSQmVbo
+lnhr4JOHoPFZgcc5zaUkiYsNg1mqa+yyK9mrk/lxI6dqKQe5zk5WmVfxOQ5j1ds+C4OCaSqRb5N
IwUFjtHRodd67PP5YywblBFyiDZAvNeybO+Qtw6uMlCZI5reGJXVn7slH8CaGrtd1ca+TWT2iKRr
xFDc3cw99aWph+cc4CTWHLKN46l7qKf4i98PzEBDrqGmoWLRsJ+4G3+yaE8KmgRpRvjIuLwMtb9V
JpuMz/mSJsR8R2Lj+Ncs1uJs9N0xdZLreZKfIwmSPofkuKlH/CAGrU0oVdNVK1l2mhkfC1FQkLJ5
h4r9pFihsmrNIXK1ePRdpV5InwkjmexCGvcVR9J134DHb3sACYFl0KitPhMCRsdePGRtitm4sA5l
Ly9ThJA9l7QLHGQ7fUVDx2/u7dj6QvzxqZbdGyf6fdNae82Sx7hPGK+EFo7K1MHIXvA5+HH2mmoD
X7E5wGE6pp1X5vLCH7/Ig8NPVU2/VFOzi/C1a0bVG1AvXxTFd+1FM22FkDkzPbteeH7QvmkFZW3+
FC42KUpZsVLUPL1S0q50zSXs0leldK2MS5PvQ2yY0hut8T+lpDu7OrIDRiXGzrHnY5q3p05LkAJC
vpDZCx0e4lV50gH7CU3t1Cdok7zIJlW3hm7s9DJNCDtNTx39NiAOdr6ZktwzRLIoY7iHmOHB6Ugb
ipbcoeY9gmhc0oimOSftl5YzMyOyirTYfuqW9KLgPcioWjKNqlRtt8imUOEsiUflkn00EoLELFY7
h3yxXD5zE3Qh3QJzSU2SS37SvCQpEfGWXqH9NrctbwGicRKXtCV7qUScqS9X3UBd9Us6U/se1IQq
YvGQk96kxHSu30+nf4/pZZj/18f0/Vv4kv3JIb086schzewWbhjMRrlMd8FFfjik6e9KCknESOoS
Hkkp8MMjo/7GGJiakXHrd6T5H2NdB1G2ZViLh4YCwfhnflRT+/k2yimNIdykAkf/DYPq3RT7sb+b
p9hnUl7GpXfCpMGJpT8gZ9vFeQ7wNQ3g85H3QPTyRLuq24/DpJFOKORa651DaybSLVFpbIJ4ureV
otp2cYapVItQ9MlsHXflV1SVfEswkoz+Vkoo1Z6udI8Ns7jbKYuHraylfwyNSe5jBM6yErpbWn19
MtmwV2Ygws1oaV8IVvimEuq1K4f8XItY43BcyCzR2N2SFnhjYea+QS8DiTgZyAtJc/J3cdKsaAjW
nCPgsCcHmGzGq7LHZBMHncJXkmjWeCGN2F30quVi7Ehj9SMgU3G/kwsgJiiJmWjpzaIHzbWLL7hy
jF3O/4eeamdpNJxLnn5eOBc1zROeBfbFvFAwalIk4eYOpxRARgwog1TqXVszrUMI/NIuLA25UDWK
tjdXvR/fFsgZmW9fES5NqKMktzzKqmk7L9ObGlCH3VWQe97ZHbbyUALzcIB6lJxXe5OIcJIZJ08H
/KFX1tcCEEi1EEFq0CAUm9dm698HPcyQAYteD0SkBiaiAhVhUN14YuGMcKtZ0OvFp3hIDxIUybgw
SSbgJONCKekIs4nAlpi581YuHBPNCCNwIbBNGHmT5pAyPdcX+EkUDcz5FiCKgIxiQ0hJFlTKsEBT
0hxPLgg6+tQLUmVu8MjDWGGq6hbU2eskiDrIPVHolhBZigXNki2QltGWJO7AbSn46NNU9DqZfmq7
zmetd/HJoqk1uuuygcWsWkO8xh79Ff7KJ+Blr1DYjY2va68ljplNOIbtIafG9BVb3wQM5jdy1H13
rhpQOSzXLT5QYs58I6tXkVYRK23oe6VznG0AvI9QiYIvQmF/m2LpGfQj9XIJwvAHa63FDXmCEtpS
XsJBVhdvta2Wbpkn6SaCDSND31lhyML/SvQRlPqC604Rzp6vVS7DFX01wA8Ieul4oT1e9N7fCTPH
75xfZGLvFSXadAjkMs8fTg6/szHau7IasORO1nWSySfLyS5JziVq0OPJ8+MRnQNxRQDYm7z9ZKWh
Snu8pTyOS2fdWA4tc6d1ULHnmyIpT0IAQ1Gyhybo9kkVoNstufKJhlnqdC3Sfmd0pOZZwyIgHcdL
lgqG0mr6HDbR2ZSYwqQ6WPu4so7Cyc5RWwJP0FuMvSQbF8wGVlKibg1CDSQ1kX/kf0ZH0UVHLSuf
Uw1vu830diU1/wE22FNXN4TaJsaWqFDHG2NNctQbplfnxLmGATgipWu3AaN9hLXzyLgiux2k/zTj
q4cb1DXMNXS2Hh4XZOkISTr1yjjZ+3P9VuW6sWYghMXAIYuWNDgGwxgwHN5Wxhvhk/D1m3aAvqJH
3YQfqjG8pCe6FlnsN4Jqr4yI1JYFvD+mZISncC2gFz3PUr/3CQVzayKSXKBhyiqJtVvkoPizaGkE
en4jFAYU2mx/k063RTEwraocqjM0mps67LZ+Lu77sDmpvcL8obQPUR1yvbGym7RCxW5FyiEc0ofI
bHNPbceDnGxY9xCt2pGYyRiIsyvzIVmniNS9WQWLng/KygSO5yl1+g0M9n1FYNVq0kg+0KMQcHsY
v9YlJsQC+6NqD7NHeSjwHwMyGzDd71pirawBPfxcAXhFnLtW+rZ0Eye4GwmJ6ISyc/zyynEyBjRl
fUAdHnIKhIGLrxqu0CCx/8vC3BA49CmrVaKs1JcK5AYkwhC9x9Cfmf08YMk4zhbBw3j81kZvbOo4
WPeFfRWV9S5u/HY3s4jwuCHZ4W69nSzt66yVJzNgz6ahs0ZXua60+o0ZIWOj6mUegzU9znDVTJ1r
6NpzQZSBnxCdQJMJjLa6s1pISAES1Z5FoLIf6ZwUOP1sj4EgIYOTdV920QlP9FvSslFGuiwQt1s7
vtzjqp2jE/IBfPuNc6mdOdgKY3hMWbfM6RAoWQPB5b3AxA+MszaZsUmYW1v0oy+cnfW6iEJaseFU
rFVdlxfbVmzA+abY1k1NP1e7A5FOPifIJs1qn0H8+KuafQFyJ0sjtUpmk6O2of35RfftcVuTe8Pr
+1LHVbHKcQHQiMYsHROaDl8NTUwSm96S38OZdxoMfjaU4VXrUM1SDyASV4q1k3Wv5AqQDmFVrwR9
XshIaFxf8RO37f2TVkqwE8EUbpwCnQ+xC8C9YgxSfMsq17chzFgq37ISFa0SFZuiC3aTCezSYp8k
W2FFQsXdVBBoFSnx58Qqv5qYC/Uww+DkkzEaA9IG+XmnmcwQq76yDrNi7csWxw+bOLd2rkZuRC49
QUBac3FmA8dQ9i1B4I9saLiMFlALavejqkeZ67TlN1vJgzUzg+ehQCakVAjag1y+JCHJBWWgfFKr
zr+hPj6xmzeOfzIILA4j1BBUCPQq1PdAY7wYS7pxHanohGOUbvNafY9A/vce/b1tRRv7r+/Rp7f8
tfga/RnZV/DA36/SAquiBrpFMKb8Pk76MYQSxpIpCSCInZcJ4aLp/+MqrS7hOFAo5UJYWpzoPxSS
9m+0wX5P//knAyj5S7ucHrmpC8tADoFaAz7/0oD9oI600pa7gQiUi0YsadfSfVCN+c0fWLeJmcJj
1NUNrqRNPXESbcm7rm+dOlNuhNUrnDEWYLjbgPA5VGLaROx3o9VPZM1Z01dTof/AvSFbCUEWdkxo
+aoR9rwNGvhgDT24LXcMtqB6sLdQmoDTlYqzqTXxKS8T9WtQpRm0jbHcFCEe3wGx26rnhkECJf+u
Dht81SWi/lziMYNvy843g7U/DLl1iOOaC4le780QPUbTKdtOdF+ICqKyrGoU+A6BJlzFsKZNpyko
uF5b5ppCG0BGzmaaLfs3kAB9W0+IqJAykbeToGcH0L/SAcmsbRpeK+HX5XrGICTasblm4kPfYWrT
Z5pI052mPUVGE/GdTs5RFYQeapWbeAapqwvtNKkLNoQWAyqor000bKSN/MRoU+4cvYkC0x7x4VhD
dMgtxaRhE42k5jbqujErfXFb0tKzR5UtvcTxx8eiXIjdQREXONgzC90FZXKoCDUBp15wzaf9sUVZ
mNyMvXopSuAxTkKjEOUoD0rmOdrQSsl9Mixy4BRxzFyhhlNByqa1ZKuMhu0ReKjUC3eG6yBEK//O
5Gm3/XsQOgs73+d1DwC4KaKDLxX7FBkDjhpwyqeEDYp9Sls2LK0Ln9NlCwvZy4KaTW1oCLdDGfSc
aG2w9tn5aNdlLifFMfVDoobi6ZIu22TIfhnOpoc9or1MGfGIcDgs16htGM05lY7Sy329bL1i2YTB
A2LyZ1sW7NHGslE7NWl9o9nB85gGKPBRB+fLXLWi4xiu+0EYp94slcOkW8g19VS/Nt/TqGrOPbWB
caOjYk0wMcRpe6wrh8hQFtqlL8jKqSuTssigGaIU8H/rJYjbnrutHqafF+UF8CQN6N/YHIb/x96Z
LLeNtNv2VU7ceVYkemBwJgRbkRSpvpkgZEtG3/d4+rvgan5J5d+OOuMaO+QkgAQy8/v2XnuYt12d
r6wNOKmXMe0lkTqvqqgPZpRe5W175wntWBcW/h5VFJejCMcd/ao5/XPaCgMFS4ra5FZGnrey7bdG
DPswwQilW4cxAGSNRnNTDuPKJAmQa0Zamh2MNH2eOrE3lPCQgnJ1w9bwjplNNGRqFtq6DfwbUsN9
ENDJruIUGZc8JHS1F0UfovjjxLlQY/vFb3veQDM8DV0+01UpaommS124n65iJjsHnA3Ixpe0sknq
jhWX84YJ5KCFpEx1fA2RwJUdQg9fRbJEDzQoop3V6eThDG4P1GARNOzBiNq7s6Fwc5a+MztpM0md
3CTZFo0hjbhvRcnedGp3s4pWS9OV2dAflsGwN0TsRl33EpgaJ/RuVfuYKyPDPtdxdm3n6qsT8w6n
ifbWOOO1Dq5hmZbFcSyntYhR2fKMMXKFro77DccaoFgJY9pLv07jeNvP81GJox39pfOUc45gR2ZF
/o7z0NZKc0AvDJ8Y8irNhsuRxqCKtzHz2qWwKeRNYkPRdQv/3U0L4rHqYS2M2ROohl9Nm50mSmaO
a24cWKuxyE8ZMNJVJvON0iAEhut4VjkIhJ2/HQBpA3w4dChWxyR8KVt1McaDW/KKqIS7e/SxUdq5
XpO8Vclb7rXXA4bpyJbbUaKk6bNHo8T6B94H0fwqQ7Gke+oJV9hNDZeS8j+ZiMO1Pji3STSpSydJ
6kUOKzvVK9fxHGagx9bckmvbSb+N+C/4wq3J3XXrwKYhPZB+Uwc7JFRbkj8epdJQqrRvTLN4tIP6
2u/GqzZ9zcbirZQEzyQQNy0tXIdmsa69cRn7OgiQkXCm4EqrgmPeadcUbQGwNnPLEaksFXMpt8Lp
tnYt1jJIbiIjPzSGckeLgJR6p16YRrHyRLevZbvmVbysHXutaPUF2GQGLFd+wQ0bsnpJFxHWp65+
7dv8kf+KoGG4eWMNPYw3qVxaQQ/9qn+hZY8OTOyTJt+xucOaDna2q2ICbVgkgsIrXcKF0XOZ1kZt
uoe0zZ4bWs9jYe1g66+KQPfcvKm2mW3s0CXT4jAcvJzdY1/Jh7yikCIUcjMHqrYt985Z+VnDRt9g
dlqQArsrAin2Bf7LTkBNC62tPXgnT5t2mZ5edJ5yDOh3LrKWxKRkPBfeHEHZ0/m2r6LKOWjK8FSY
+GorZHGqY995lXlVc1LNauO6Hai62kp90yKC6goIWNQhFpmRHBLDv0AsJpH7+8dq/lBN+eMYN3u1
MjYFAeotAsFI6926nzc9GcGY2V1VjBeglfdC1YOT8JC++Yi8biB0DO6kNhcVrrSp7zmvxiw80Sv5
sndRk5JdiYl04XBmmBvkKrDCKKe2ESqvZorkrCkf4yrYSVU58b0NV7KK0XDWe2OaDWgJzKVJKk8B
4o+1o8W3adUkqCnjTawpZzD4EV0h5Hp5r60BPWw9ioC9KiCRTbnbwVew/N53lVFdxgme1SA7D765
ibyBAtj4Wgj8+HX00kB2m4mOvAEAnaLOWrWtv6og0biE+aKebvGSsEgMlNk6Yb92nbGuQ0ltxFqH
clghpeP7U0ec6odpPcCrHRt/XzXGLWnVrOwcTzMa1k0Yoy4Ht5Kp2CY4mSiYPiol3yWiOU60Guuq
+IrJFntxTeZ8Mhw7HR1hKln+3m1pf9D2/yhSwhbGDlFTkDzp8P8c57NNrOmrqmrDTJxkSnRyvMjj
awH97OeDfKzm/jkISCap6Wxt1U99/lCk6Ph1RZwG+0tF/HD7NOTffPIJuuAXI/1ow4v97q+R5l/y
bsObe/moTB4jqcRJ6rQdLGIgp11u3kftc5ibvwvI/6ul9od3j7cJqgdNFTTRH4dTqbnZXpL75048
N+2+9L9mydef37sfXRG7ZTbLDAMw6tMQnmkN0hmL4Ayujrp0O46rBJJ16m9CJL9q8wulzw+uSFcc
Di2IJumOz86t9zdwTuBWR9mEZ9izi1ArFy2xOfEvrumjmuj7fPgwyPzv755S7YnGMD0GiehKN9Vh
Zq///K796jLmf383QtdMlA4QMZyr4ohhxI0BHZFe/vNBZgHff6QEf7+MT4+miIHXdmkdngehLXDf
O+GZhCI+cE8GfQCKhIDVfz7ijy5LlTRn4Nlj4/5siIxRD4YZXYazVV4RukExemd53/75GAgJTVpD
zAOK8B9vnWdowrS7KjpndYADZWll8JuSu58P8qNbh2oTJTC5uJb6WW2U94FlhSHBkFXxlJlY6jh7
8DFwPHBmex0Yfu9d/XzEeU59fljvR/z0sOiLwKVQxugsUWiDwAVE9ouPgfLx6RjYHmhk6XBFEJaA
sPps4a9zPYiDQUnP0QHjwI7F85i7xsq4Cq4NF9TnmvLy+udX9XHI36fg+6v69L0LOiJyG6xH587E
iE4PXyWlQc23Px/lx/cOwYxk5TTQ3n2cEuZEjEaD2/4MoNRVCXO3m1/cu/nuf346Om4Sm4oIdt/P
E7sA86yMtYjOFkff0VbZbT6H0P79KPrFtfzojr0f6dMHjhNxXiENiM6K8RbYV4Z3U06/+Lz9eAjA
fuB5eZOsT1MtVOLO1ic/PmfZycABPhBJoLbmL5a6H71CTLa/Rvn06OOqC5rRZ5Qw/poIgBtiVelr
A5Bp3JxFvEmMXzyjv10W0mJQxKQ8sxQpsBA/zgLV8awitfLk3HSbsnruTcye1/9won0agjLb+892
RjiuZgZlcu4nKK2CQLToD1zbf12y/zaXvw+hEbeFxNuhzvZxiGgYcKpx0jrXyVcx7RDb/OK5/G0q
MwAqNowHBoU3/PcfB+DTaaEMndIz+7y0NdAf7UKQUbQnv9+rf9UNs0z0J1VZEC68j39TIPJHf1Zk
0f7PcYNzeA6SZQSH78QNChIGCxCdClDgd7T9nxVZhT+y4K4YtIFwFDD7/yjIEskOahs0jQao3v6e
CfQPirIzSPTdp26WNqBbRj6hKGj1od6pH+dHmZd6YwdRcC5bKhfbMu4FfSPrpBDBglzKF3PsH9j4
3qwWRNZKB3QZcTvLEeRGtbZlqjQ3van4zrferrcEn2jeC37eSCIszhKY3ZoO8x6l8kjUISgM/6wj
NMbRXepB0blKi54A0q0xEfxBKLkHvcnKLGK8u5E2KAc+VALjohpbiwCWigi3rfWdo5lEBlnYA8rg
belXTkSaQ01nteyTCuDuTOFsycmxVj6MUnMR2+ZSIq8QbwZmn82/U//3hgRfq59N/R/2Ivibv2Y+
NksK/nx8VApAPOn/zHxeChQ1bFIAJhJxO8Pp/5j5Gg0H2BpodmEx4nyZCY1/9iKs3+hp0AYG/uCA
XPxnrEXN4c37OPdt5LcmLjYIEJDrrfnf323L64nltzVa85KG83QoEaQXVJ7IANKXYvA7fIOT18Jn
EsRXJku7gR1KMT3FOt2G0ffioUyOqGIkDmywy6blu3Q8hU4piHRuSipoWCjBT71BX73Hf+0/9G0q
ChrOvi7SRQy9sNjVmObB2neGOVy1kUX+diByf40vXbjtkD2okhIhPZstvg0b8GjXwFuFKIX5O+U8
JOq118rbKFOPVUaUEPEMS2+U1/jfMEYo5NTkdJ2LPN1npXdQ+uF+hPADORHpaFGkhD3tkFtSOfIL
dRGaUejGVkPjdLB67EFUCVrg8AucfSAInLMi8cUkNMZFWxPqPlCbYOdZ4GXDuUPlQh2aYRm23WND
BXuh+Mk+DaVB/XA813k2rnuzA5DVOqB3urKBujoNy5gEJDIVs2k1GhQ80IGtIORhIWnplvZ29yr0
YZ+IEOsnvQg39ZTXYSBXvTXqNezIbWhQCyT//RDZauGGVXXfGogLorI/gDZu3S7syNzLtRuB1LS0
WnXtxTD3RUoOVeUVO/bJ/mLQ88tIza/LsnfZWexD7LIBUYqLDiGoYpWrsU2+6CPRh1XQLRuN7k4S
E7Gh4+gt/Asd00xV2CbkfXyy9Ggi9MN5vLZHSyAfJcleIE6Nkwp6GzRDxfcfWsTMnASdcKONWrgU
pn/mcwbhy2lcpWwuZlzGopTVg5/P/d7Y2I+jctP4w8ockg7LP2GtWXTtZ90hNLRlbKEJMs0pXHmE
Vy0K3JLbKvYCVw7OWRq5tbJL7S1PlHqrIKvHLZxfGkrWbAJyyjMtvmOrfZ9G5SIvypMICgqSTqxC
seXbaifROkrS+96ylzOns5XakywgN1hIK7s+uRliY5f50H7NuWqNo8lwxzrqmOhqsIdMpyw1Z5Lb
oO8fMtZDUtCah8Hr7xW9vtVrrKt+NW2ywDlFtQErgKaJ0XyhTZ1B/KR011pxsSxjBVSpki61pr3x
IszLeaS0VEb9nV/r/rZsyuvWnJ6ouT+XBtrtIRwjGvthuYo6XXF12d51IRVphfCxZW4GF0LkF9Jy
XjIU57CYS9VVc+WGk+46rPTbopYboeXnHrIAm2btBr2hvbQDidGWRG4IJ8fQKoRL0u96CBM6cFa2
yZTxJfWnYRuP/rbtKh3lgu24mUANq6VJjrsne4oyJOQARhB6DZO9d+Rog46nbCen6hCaiLl6i0mq
YqQFSEuOkujXST2eFEWnwh6Q5F5BYrCsO6rJwQXu6mRlKsNbHDrXkY5QbwbjU6Ik6q6exm89DppF
1wE49HxVdzlToYCvZ4KjBdXMS9obQGVMHaC0C3gvORMgHKnu54ar5wQ/+MOLGTTZqjGzbDWYDhrf
8ggXBq3HgLd8IESpol3oGgSyAkj6VvX63s/D7QhfObN8FQtCubM0mKLFoOxlVXZrexDdkjMIRX9V
3/nNHHoZ8SlR1OioQHockT6QF7UHkks52dunSbQLmvLGC8pvzeDUy6yvDmPunUxR3BZsX2iUog+W
lHbhoPLdq0KqymjtVlbezsFY+UOWN1inenI5EmzChtdXqx7qJfq4/t6pGyIwc8E7ndGjysL4adAa
jddxWMdtK2ELajkOdRX+54joqX/rq5FUMwOXfTbq+8BMn4aRO6o41MpxzMHfzO8r0Gwu2WT3UAPe
Ar8x6JpYlKI1CvJ1/tVRdeAf8lunMBmQfN8WFQ8MZJi2NJKGEGU/K9dlap27CHOyhqlN+EiUkqS7
pO90zaXSpg5OU6pzzNJnelonyN9IrAOyWA1lnNy1eUwzDNHLTu+NG7XwHgML5GKVhG9pT7Xe03vU
8RxutnXc3WkZ8i7qexMNsaqjqfHvLun3XRJ785/ukpo3ELA/OCPwd3/ulOBaIdrgfE69Yd4ovdsp
oY2GK8350DRNQ36Pav5zp2SSuuNgD54Vzu9OCJrxG6AMsnio06rgrtR/lP9JnOjnbRJJ0UhiOXXg
LJ9xWR+3SWmR6NSxbfMy1aZuTWo57kFpPVmkNuVW+6A24IymKw9NploqK5WMp7bx77w59InuNkpl
WisleVAYIMiG0vr4Lp3DopQ5NmokP8psUFvg4N8VJEtJP+ND0eYIQSrPDeb4KTgNz2IOpFLmaCpt
DqniM+etJ3Kr+hC1oedXF1lPGTrSgoeU3lw2Ok8T/buksCsX193LGMVXTqC9VKbyOHToLM1mODYw
ctwR2eSyKKN92yKKMMjReBil/YwqM9xnheKtlJ60GllEd3GbPMvRmnZ6ShOWsEl0FNN2KtXnrk4v
UVC7o2mhNt7Ek1yVDsBEI+rv2iB8skOx7WX+UFfCv7DUAtyV7qZZd6lEkFqT8XIYw8vZeYOxFV5O
GLzmeCvYPRIlYPaXzmwyyUN1p5NsQuYWUjhAzjcz/5AedxM/lRh5F/zETV1PNMxRspGNWONwQVgX
RyrdN91bIJyut2hmM9fDn4yv9GCmeb/NG6sDgzizoyJ65ObBlHTydTNgX5Mk2zJPXit6Q8tGrTHP
VHJTmVNA4mN7Hm1nKyOWJ+l12SbI6HKHCEEI2OHZ05yFQEbxGezVNGJ2lpRV7WmZ09UaTPS9dmsd
6L+dksK5TAt9aUYkheZjdOj9OU3bIkN1IshYp2eeSKMj+3Q2gNAHd82esKAkhsqaWDWi27BJXRZi
JltISGKTTmQjWS9oK3b+DJ9oa1rUQDxmZdBVb5mkBs26+FL7OqpR6epldJ0p7JkDnpwotDuipRZl
mlQrKmn2oRQKMRf5sYiG5y4d7oO6/lKUNiCJfpzjokyWS/JNyftmYxJHza4bm3zZwRFvQ47Pk80a
EAbplVfrmht3w5bzcr6uOHAs8C31izgnjDUkUNJCugBQIy+Kk05Kc4zzzlASmvfsp6CF0nJPtJto
yp6BrO8bpT/mEycTJD4XXt0cZJrv1BSEdCKLnd3ZX6La3zmBvzF1wmpM+KB9Hd4Urbij67ST2RxG
pL/lprmLpX/CJPSc1ckdrmRu6tQfdI0IUGBqbQfshNb1VZJ2G8IWDnprLrOp3xZOvlPm+t6oc/wO
Lnwd5UI1avsC4G5fy7MkCWPdThV7juaxt9iz1PrEtqo5FS3q83GyLipHvTbCYh+HKKbjEUF7krY7
0i5OuqyOfmGhSejQK5EaggLqps7rB5bEvTdExzbQl4E/XmcywdjGSx8nwZra2YMfWxvDz7epGdq7
0cg2ZtcHzI7mqJGv6XLevNKRUHDKvEpFh3dOEtHeVrvOkY9yAACKTjtZOmp73QfGoa2AmwCVRms7
pY+UIrYWNIFibJbqQIRYi85IS8znycZ9LfpV47BNC7unDBRKbchvEwLxBZmVqwmPVcghmKPdJLL0
WsXN6iZ2n6hrOzf49g2adgHHC/y5mewdvyWZPN4R8NcsBCLqIAhOepfsPX/sF/Sojz2q+1XoZF+6
EF8BeuVLIZ1NmTuXFepVlMLDOi0lDARDuQ+V9jAAWNBiAfgmupnmR4gn9guODN5GfwUiZa/44mGQ
3UnDqi/jYRmYVr4i0eJFFRyDwsJHo1KyA294FpVirLPWJ/zJTp/xtRxHh+NvE1bbOI820Mr6ZW0q
9whPLkqiQ4MgWhpEjXY4PF1Vv7X8Fsrt9CVKrJvJaPxDZpTFTvredZFmRzEjjLwyWemT8YyMdmOp
3kLX8ApGDQT0vhrULWnMvMv+W8wOkVpRLvcY6Q+4eQEVKIWxlqG2sUqgBkyKAp8re3vTl9s6bR/r
PrwpOeqPrX/rVfU2Exxth96+zwiz4ppv/TF5aMqg2w36mRSuZSQJVIrAAjbpsDH0/NQ3/m0op3pp
m91WAORtJpswZvNqSpRt5TvcGuUkyipbBOhOula9IX/RRgeL9N3GfEKwVX9VaOaxTljvV0ktVHJG
+jK8N9Kw4eNvWns1QyKWkuW0DkpzkZZo4EK74+2kRoHYkVhVLmkciy0bxo3lZ84Zx6WNTosAt0mE
sLO7Ehxfh/Wxa9MvyN5XuplFa1YYpHC4m5eFimobSZ6RN1svEOFymF0Veed0F1EykDInxm9ZRZYK
b/EiHsEgaxFxc0TG2CsjSR663Fc5sZsVehWsfkpQW2KRRiaK/tSHkNcUp6xUmscIRXZAQlwl1q3d
G1d1n00IPCYkjj1+qnDRQYVdFf1E3I8iDqgoLwAQnFU7XutDtLLU6T4tvWu/JJanVFGAamTKJXa7
ypTy0euNaJZRrCqlhmEbY0mBVrfSmuZLB21Oie0n3dOOXY+kD8sixPl1A1EBuvctep5xaVvBC1/W
e+Irt2hQT9IY3rxI26cTt8kBHslEyt1aEPY5GXsrTEEqJho75HQZ4XYUBTqYliWa2iQypAr7EoWO
JM6vG2KjFrgRd4VvHowh3CoVbP+42KUOsN9cxkvCk0g+j7Qrp09vID+QhjDCDs+y2wxgM6WJeM+h
cyelOJKl6rIV2qhDuWs8ZyPiYOdb5d4vmgdT1/ZJplxUGiutZhNOUHzlYLyKYv9q8NgpjMiSJi9Y
VZyGjbJ5SwPnILLMrZl0A+ETrZN8NTVJmoGT7XIZXmMaW5lq6Do69S0tNbfBIG/qWMx2LCFckjYW
o+WvoIOvPfijzoysap163UTKNm3VRzpNbhIpw9rAa6ThtGRrAXciS0q+7vFjopGaqBj+oq9U8IMU
fskPhoEe3TuOt9Hs6Sw7ECRwCW/HXllrUfGQUwfk5Ax1UHThq1flnTtEoC6bQLvsDXnp+drzIBtz
RVdjpXsWQdnhzgmls/Z9Ikvi6a0YjcumULjiHimlqTJZ/Lw3qCxR4QrGQll5o2mfchL6Mp16QkKt
OGjkVaKLQ9JAtBK+tq5r9KieEeASr9Gm4IJ5MnpEnw5fGiQ8w2EYbJR3ff4wGNNVIcwnVY28dRGW
jxI11UKa7Tom1wi9DVdte8oWIwS0KvSBXe4EW79KItco4mOBRDPGTnISarUvFJ9YbrR7y7JKOSkO
NVtE/C04vL+NGNmUrrzxySfakKm+o2YQgZJvIVLMq7ahPw4KL1okQWFXAzK6cgQyE4eXeJ1dPdKD
nRVM9aFAmoXhX3tA1uxf9JV35dTJE3JbfTu/7mRs0Agnln1Ni097soPmJiv0K+qI4cHRMvJoi51f
yFvVZ0eTGxK9X0shI8foEx9KX25aC9CIb6TfWhsfF7E8HGbt27jJL0JO+DHlwA7K66pWm8dRKa+d
oZzBedZlpPiXKRZ6zAzjHgDYfZk4T/qgXSN/yfeGRkJXC9JsrTb605Q6O4fQBjeSITWYjv9YlMoa
Fxw+/EzvthFmOEpJBasjTiip3QxKpHKMqCqqtaSk6CqlOM0UK1UJPfK93534zr83jv8na9Mz+SFN
/b//j4PduzrzDDMBLmzCXWKNR2H/nZj0rs6shlIOqpqFp6ig85Yd62lYOPrNzwf51Oj7YxBYSRDG
5iTWT8Xs2CNYR9R1eJLjTmRHCTdG6LdNf/vzYTiJ/v1aLFpZOq0jCl6fusmelA6nAMnGXf3W53dC
+4UC7Af/P5V/6GVAzLhdn+9V7Yxmjis2OWU9E21rey//+PeD71a5Q9yo2djw8TDrW3OB1ihh4HLu
wPH5ByDtvzZ0Pwmkfn8M7+7Pp8MyeSkK5Xvuj55uROrGEAmspU69/S2Jlj+/lB8MNcc0zP1dAyGE
8+lRJDb1wh6z10lGW+R4jVwUFFJ1l2VYFL9oI88/+50iYr6sD49lnuLvprBUwrSzzCQ5FcQ51+zo
XF4tvqljt/7nF/X++X+6qMyKHFRsvw9EVZxgKti4rCPzUlz8Yq794L3EhYIM0GZ1nMltHy9KMzI1
Z+HNTrW29pKXblgZ3tefX86PpvO7IT5Pt6k22CsZMjtl9kvkPeni/zCdZ+IorWL0Ksb32s2754KR
0Wh0oeJA4wtIATcZ/w8fLzpk0tSo/qiaqX5qEGeC2OHGVPLTZL301mU7d3yaX3y7fjSTmcQ0u3VI
OMrMwHs/u5wAnNpI7t4JgTNWi7njYlx1GHBplWm/mMk/GMuWXIaqWDaNxs/fyQAOl+ZERnYK5jP1
ikwPMnOtkpr6Rr3+/vD/1UTMytL/XvK8fCmYxX+TRPA3f5U7iTdlpWIBQWyno+v7T2NYVcnnM6Es
oOuZJZ+8k3+WO+3fkFDA+qVKShnyO4Xhz8aw/ZsykxUJuzCwsUlCVv+BJkKT80fmP187RBFzTZWv
EDYpes1gOz/Ox6qsU90gueNUFDVib7YYi8oBkVYY450SlRtvBvf3SolPtP0iWw/+zADQd9D3teEl
dKoEzGi8zsZ4NCYk2AaGFBWmNE2m8GSGyXr07LNMfPDbCCBWJWaHeHCOvQZFLM03tu9s20jlQIHp
1Dapo1Y+UILG7G9MI2/Xjaa8CTPbY/VDS9rp/tEyMaOKIvYWdmmsRpVmA7idDXnkO2ngHS1U+94q
tDMb/5PhIHtvq6xDpt8l97E5brwhxupsOFdJ5N8QG+pmBq2u0cA35idkX4+N/tbnfnScprZ4yRrG
GY1uMwnSsLXWd4XJ9l/Ecu0PCiWfpA8ohoSywaNSXLTSj1cqSAq4UJazBAjphgm87TL54hMu1Iz8
9KKrN21ZoUPPiYoaJhovliQtro+3YLBWg98AA6iDZaUnyo4MvD08jvBCEcaFR62XNCb4AV5MRTEm
N8zpzZtSCU2orxXk8Qy+k+9U+slOzF3W087BKwyXqDaSHeW5S6LlcaJljVs33nPt27eRwDMRCm2r
j94bu5RskWIlsB0zXdaUdBE0wokSur7NAw9wf5zKW2qhOEEGY8cZbljqfnENeWaLk81yAwNjkj/V
pZtDoETh1Ul4PkQIFhGoCI4DqykIx1Xp0Ucz/PhrpXBA60qADY2Y1GunBIw/GTE0XDvcCKDHS9Eo
ct310on53Kspljcv25mtMLaIXXq3F3a8K2wDF7yOjEbXCfhTrWjT5EZSbqvaz70bu7fFhWIGr77I
i5Xtxc7FRF6CqyTVDrbiLeVaOqKNutUFWe58/1d10BqrDme43WX5PrOrY12n3/IBcIg+9Xs5dI9F
TXmIBvR9q8JtD9FjuJ1XPHa1LXE2T4c2Gw5pKnW3sqOrqbE7N899IsOMIw1YXglx3/SKdHUSCgnO
4Ff7+smq/U1rY18LacXjKcwXTlxvUEkcEhOPp3Sa56nwTp2M74DoI3GDkeWrJV3pkbJwpJThqiIN
ex0GGQFe8THwhTskfrCSjnPMEmfbsEC7vSVeQy+8y8VYur7wg0WkylctLO672F6KmRtQ4bp96Spj
JRTx1OmUNfoGuiYcf1wcZnxlxvoz0td9rViv1lTvOXpfTgqd0HDSF3VunIY8V49ZlW4SSX2rsMy9
NlQuCWPAFNXguvMlOPxwfFat21is9NHeF2G4dmAqkAIK5z8jCins4Jg1cXKF6VXQrK6eCtFcR0RH
0mGezgH8AtfUmqXWe8s0jFZCmNtpdsDClsYKV+HeoFW7SALnaDkOVrj4hBTLbXWeuoq3pbMGMj/S
6dkxu2bdpJVrIgkzcAMmIvLxtpeHtp92ThF+wfZIWpqiQNXqnUURRjdNYnxxoDAs26GmYlpa975o
MldJPV7iPBjAnjSrtORbuHCmZNjUmTqmv/sF/l1xVTbkP1lx37qX1x+tufzVX2uuJFIcbw3Ob7Zx
KP3erbnKbwBdJRYLnaw3azZ1/Lnmwi1WTROBIOrAGaHPqfLPNdfh/zPQDjp4zdkh/qMmo6Z9PGB8
X3I5ThoOxxg6nfyKj0suMXOFZnjheAqzszZaLB0e1e6BnOhhUvuFHNVy4ajZwZ6Sa3vUv4xFIlwL
UQ0U84TFK6yhoTXORR07J01yWhiE+QVa0zFpnftpKu+0PvuGe2oNjrhYhLgikgI6r12bqksLfCPV
9IBZC5uY1zm4lKkuSUhCCccvmnDxvemb01rjZLpQ8N6prOaLXDUe44RpPk5fhEdSLp/RbV+2d3HY
nCtHvwyp82xQL9+k8UDS6uBfel1zkfcdnCVR7xWbMuUArj0dcq55WkZksZZ2u2ttyBGm4+ElzdZZ
IB7agpIcazpa/0uOfesJqNASlB94jgzW8dS3S2Qu69LGmK5BG1R05RVh0amOFXPhh+V4M4kUM6cH
3L2ogfgMrH+RFrJw62g8MxERbmo8pROhlGbvWashlMmFlYfOsuyVGjUciSVWHi2BkNBbnFM1R3Ym
vTMtNAX9CAZSaoLGPdoOuPc+6hkKYy2L9qIF1gpIxKQzeaf0PaUVDOsloaNlI4NVEjVdRffTj1hu
Aj/Rl15O168kLp76+iqux41Mhu3Ud+aqxV27iHx/M0i9c60J9qyHBVO3UJHizX4rIuOYyNpZ4LZ5
nnR2a3iHKPB57V2TZc8h5lTPwKZOypKhExjetkQRWxFl2Gybq1KsgrgwUHp1R0fmHNxpZgWBfBh1
8yIt6C6mxvgCLKq801NMpanOCt+BBul3KFg3QxR56NA8dHGht8WqAmmp1PZjGysLR+DJHAUklCm1
70WHWdksxbp3VBAHHYo+dEC21+8mh+B2mRcm6JAM/uUcRVIWmzAEnyOt6ZypHglHGPwEAv6qau8n
KvGJoX7LNe4ZH/hHadP69uI7vKJPflqdhwD9x9DY6MSmx7rKoD4h6KGBZrkJHaRsaC7SlohiNZoe
O9zQVNVfmjFcAVfZo5taKmHxZIZ9s/Q0WmOxpNidVMkty8VdwMF2UbR6zU+L9+AKVgWQmUVjPZUO
heeqNY9VYV1Pgb6Rmveg4EbfyBEXfds+G7Z/TXrF2lKyEw6901BIh3dsUhHwoS4szewwxd2lqvnr
OHuNUYe1VPRWde9t8rCXCyfRUYIZ4zmE829LsLwOAbiMXT9OBGu6nqm+pJ6XuYaMG1fWOiGMvooE
arw1JzYNQ55YC62ybgGs7nGbPk12cEyc4UpTCbqRMaCk0nn1UrlNHZtpBMWLPgoT0JsNysPKi9Q3
A8A5L5RyyzR+tBpUywpZSU2Iy9XRXp1prFaR6M+5R8snrRXdRXtFTrFHjk1iBrS/G/opRjwkZ4KI
rmOwmXMpmjzTjojEdFRAnZrOl8FrXsghOntKhWASIPSy7iXSxbF02NYY+8Ku9fOkwcMhTCO7QlIZ
3RSZ8tUbNZWOw3Q35flBm/wvCl2CNmnHbeo5YtXE6mXQ+NGiLoIaTzctHCdu3vLCmsB6ExVWxf+f
vTNbbttYu/atfDeAFNCN8ZQEJ1EUNUvWCcqWJczzjKv/n7bjxHEc7z/nOdhVu5LQskii+x3Welal
fP81F3vn8Q5gkuUsypp1YDaXi+EcO2FcxL1xiKLutmHThEtaHuzFvJp67Vjm/JZxWvsQaXS2P5pJ
vm7oJ1EOxcgxv07B/rvy1Q39z1f+uflI3P1P2mxe9e3KJ+veVFJqlHuuaUBE/PPKJ6uAS8AS3O4u
U5fvAwnkb+iGbGwHQGTQ/Fh04N+ufKnS92z+xx+rgnjEv2mzUQ790GbTrtOwo3gC04jzzv1h7FPb
pHGMjh6cSFOLNnLJUg9DgBcctanWj4XTDsDL9Ll/MZPoIg7mD25oLIAPk1c5kIcLGnl0gMgiTtjU
kswuvQKtPiUxpSqK7fIRNDHZwcBw2lDpR+iQSccQHNqy+WgSjvzW9XrQbEVhcSG19AEFq7iC83Eb
IfCuN13WkliVNeawrZsEGgRiXo8GBF3llwT6NK6AoSUqmH5qmneN2FKeacSMVhyw+SbHPnAJpLKV
ZFaTtHuQONi1zSHa8QanO6viaimZGeg01uONIZfLaPCUd+rSLLODEUaHiXXE2rIb6Ch0u+uyHUi0
as3osjLtnV5p1wnP/G0VuMeuirjMQsqQkFXIZdGWxL1rIM5mO0GMXGmJ79T9eeras5ZOADPQbKxm
1q+cEeMGUJztcTR1hKDEcm7eU9ndxZl+xxwnt1jRdMW1VhNpKE3kqXW1DSs7ei4JkHU6dx2QGYAn
HDCuLKN3erZkLSr2hKJ0WQ+SBzjL/E6zrXFbudwOTg3moaEVQgfr7SvIPxOKaTD3ju0Lo4jOQwgb
Oq5gPUs03t2klbf2yFIW+jAC+2Ylvb5YVYLxSaydjEVuBxv849xX5kPrkSvPvcdaNnO3zFjiFYUe
KPcF4mTlVIDde2YphsZ8AoRa2K7bGR3ad4/i9f/HwocHTlkTmQlQcDPL+msxm+jRqKdem1wJPaq2
MhvFR7J63fUIFPd3j/l/558ax//z+XedfXx9a35y/vGqb+cfqkqwVqb1u3JSjfn+YGHhvCKjBNsV
q6wvA8PvWh4s+1IZVvADs7LjVd/OP2VNYdAIRQsvOgEF3r85/zAq/XD+MWYkkYVAFuxhQnmP//o1
GeaRQYLpjOeObKC12aVP5TDfOuUwbDIvPOdGnbzyiBWreJb3CJIpnsHD3bG3ftcifYv200ROrCEu
cOsNoGc0IA5ij7gJPjUhU6cpc8Cs98Wt6WUhjUgZ7EbwdG6OFjyqnE+9jO/sYXmKGPCgq0AELSpz
PZE+vwc6dyHV8DN3lLraK7ZLJu74Wf7YGVBjkR4j4IZzm7io34LFPoGAe2DlRuefhp+T1j2ZrJJ1
czpHYbsvHYpDCrAbEen61nQl/gVzuJ4EOiM2M/bKEeAeYVmoOmlFu7aWdc+BbrL3Hytjb4D22nod
kV70Vu6mnyu5kSmsXBwVq1LmHJqVed94ULtmz++l3PTI91fAs+N1nM+HxSBAqisiF8XX8mh5nwGn
+42Y1BDrwhm6515fYmIvgUiZMoY7PtPf2QPJDtY0vw16eRgMZ+tIDRyVHj2GBoc8+WeIuFA2sI2n
yVJDKwfElkMUClT8snksNesTqtKjU6bINhbfBvVUt8ahD9IbMaMADC371uUdCmKokVrZbMcsu2pM
79aO9U/ptOgrYAuUibqhlJTjQy7MDwl7S85WQsUGeK1Vb+Dwn5wj4Ox7LUMeYy/6YzwkUAuLhNzO
4KGamiuEf8ewIfGyzbI3U4tepkG7ryTKsGi6JUpxq9vac68lr5g96DKteVg3FTjyRWmXRFu/O/N8
p/c4A2vTO/ExXY6JgyYBp5H5juZqEwh+nbFftpVDZI0w47sSca6duIzoQme3JI61aoryRRb2BwnL
e13M00cwqXy/DDSHsGdRRnUlmaHZZzI8n7xGEqUpoBFl9kVvz/vS7j4PGrRIEcl7i6FgyNGPPau+
NvSxw9IxTD4jrWjVaHPiaxHcrVm6ypyUPiYdb9JCk0tWCpAyMxe3nV1tyBcBUJQ3IF67oroIALJc
ib58nNoPWX2QPHMfcibl5VxjXAm5UZbOxHExRzfz2HiHIEXHWDrttDMVDVnvR3Pd10aCUSii/NWq
d2bFnYcaqu4ozaMgmTddntbLw/ClJ7aGyaVbDUkKuSsCSYeJzuQxNhPiXOmpgRUQfkaXPRXAXD3V
d7sJV3jh7TAh0ZJD0fbhpWQXKDUcFfqjhFTyQzlYCYwRHrcs4itdjB0RbwwaY3aHpKfkfuh6051b
MQEo0RVO0fJZ3b1Q41w/ZoagM0vo05yyYEL8XNhu5GOoQYXhXE0mCEwmEYvuPsVMJiLXAvHMrAIB
9yFmdtGgqsqYZWRxv61U/7ow5SgrhMOQUC/MqAivMiYhqWnf8e4au5oZSZvQpzIz8ZidNNKkegnG
T61tPpalfM51h9wX5i1JJhkL1MuiVJ6PRN6gFV6YXCJmuxrVwIbMJXKPo+xSZ5bDPxW4f7A5153F
iJSBj6jxo8v0fWYSVCXOY1XHJwq7T6Tjlms9d842syO7L3WCZSK5kow90NIwLNYD45M+Jbcusyc+
PIZQyTIyg3Ue8mEYeUJIn7VGF6QqMhtb9TqMuLCq0v6Qg4rng0fPoTFqI3FoVacU0zLhbGNsYFzo
tFLwui+hH0IEUl1WNtrk/Qy5B3QWSHjvuAmRssYCh7V706Kl25ZenWy73otx75H4pPq5QXV2ghZv
CYOP8H0vI1o/TfWAxjS/aqornKtpWjcjyt3WZJ8BVtB3wvp1RKmAgJTtCU3bQ+zax6iqXoEwd2uY
afk94/29VogH8HD5Oqj4NOB0bxlr6L4bUF7Z44GkrsAP7J5oQG6HqsPYMjLxzjO+a2guKdsyPSQx
pNGNmT4xC4sN7UgLe6trvReRE45w+lII/FcRqQLhnyui23h4Q8j3+SdNoXrht6LIMH9TS3ZCynWT
wS6rzW81Ee2izaCX2SsdGTvW78bAkEP5+tH4sRI1Vc/2Z00kf4MuABmfRuB3dOi/WL1+Ia18v3nF
ymLTkuJ5t21CNX8E/kSiQC3XS7ysZV1XzqWWwTsDz2vqba77yBLTs9cLmSJRDqhDEJsRc44v0uFp
JQQCjF927stag6M+aQfLKuSpT7XZH0VbHBl+5HdcvOO5n8zqsoi78rULu/FC5GN6Zxoj2R9lgkOi
m5y3QMRs+AjT2hpJAyXQgSn6QvXCrEobeHyasVpRV+1SYRCuBrH900AX8q7JeLkVrR33ANoKCMOz
kYGL9mg+7NqfRCK4zxMcC5GTXud5H9wLeEO3faVl0Z2eWORPYcwz6uXAQo4ZJ4B8l9w1wylCwQ/s
8d8yyqK3byJ/Ht1y/ggZb7hpGsNlNFY2ghnqAsXwCv5dQop6XCcPWrJYaqqaOs56EnbdoL+UGNis
Aa4JBjd5MIe82yyUvb6zML2DqOZ2Fdm1qjPWh8azjoNqmoMv/XOuWmngBHTVWq067DkupCSas00O
M9Jxzy8X83Yx2sHZC9Wol3TsXZJFF5UNQe5kYWI5uLUbD7dLwm5vbqxikeuIL+Z4yj3SnLWv/dh/
J4Ii0/zziXD38RX4JUKM8u99knrltyMBi5nOQweCBJLT1wf/25nAv3JtWqhv/4b9z7fVEM2QtE0Q
FDymHAFoLr7rk8jmY+IkEdh5Lkulf9Mn4fv/e5/kgnoBJKCDRvwbw0QmQ8E1PQGuzlz2w6yKtqhS
k02VqNH/1DEST1sJM9UcPoxJfqzaydvZuutwmcfxOpjD1g8K1wAebBOrwLOQz4WztvVYO+rd8tEK
xHJFPM3baNctRFPs4FUW3Mles0/FwPBmHmS9rSYi8RBfbpIweuyicTPqBRhJz73IO3GBif89nebH
MaKhMNNznSGON8Se2HBlQgZ4EeeyQjluYCmZZeazxiA3y6PFoIF9SxzzYbS1l3TQ3sZBgSAVH58k
kQmGYP4ZQDyMZF276nj+fTJ0cIqmKCoGz/40R/jrMC0bcL8HGiDAyn4/l49RXt4IO4TMiqnMmc1+
XffdsAkbMr9OYXyAxHpbtzYWluBtUZ6c4to2cG/IJr0q6AmWKXnKa7kKRPAaFdb9YEEm15P3OVSj
70zcuACL8XHhdhvClt15h6CqBynYZ1G2nTqYB7Una7+x57sc+6vfOaO5RwxAOkQW4a8qejqMkuSU
PGas1wYQE7TObn2zC/dpxGoh1+Supy25xQklODtZ3SQzPYARW4NvlYBrm1pJ7dmorVOEyGDQm9uy
nZAZI8HcsYc+0DvFfiO7GPdDYu37wJvTxyLUnPAk2iV/wm/OSC9josXbNyzrSWLKGqZ43BSW+96i
zJ6i4Rx1BFvTt1CqdF/KlgYK5Gfs3I6GcRsVQWwawdbC93J29HhatwuAg1DMxbYyx/KULyJ+QHLx
2ECe3kvbe0nJF8ZEV8FkNhPha1XPGHJ2771iPMgc1mUT9Ii60ZA0hvGg9YHh94zYN1OwFLthJNoo
N8lIcVqUf23Blk7nvZTtcJowB97zDUDyQxC2CjqYrouZvtntx+o+rIdPLVq/o5MKAkGS6K0yCK1c
zFnHT2RcaW4ZIFJCoZ5rlkFF2vX7pg+avcCYdFfbdQaA2CnuU4EHqjLIHxnM6r50O7/rbNqxnssj
jK39ZNPP9YGGrw0bGRDtGeOMR9KWbKZ1DvNgY8XYjpAVovuIA/uim/WPU1Ct62h8ZLtLsHZBLmYZ
Vokfmh7evcnUCPbwxpc0GUfsWHXgx25X7OBApK8pU8J9houG6AX3Ih2jaT+gL9k0nULfNwhEVrZF
uMAoDVJ0kJ+f3GG+armp2CWhLWXRyZOZD80W1u3kd6JoT5q7AA43Uvxl1rRs/qtQKRk5nlkx/OI+
KjmrPv79LlKv+uMuEkRBOVw41IC/6//+uIvkb9BBKUIFVJivpeufd5ELY8ZlcWFQ3KIr/MtdhJaP
P0upCilq5b+5i8wvO4k/C1SFuAPK5JnoJTBlA9TiQvxeqoq/LatSbK9nIbHXblWU8JoLsn9tkn4z
mOm00pXgRQuQviSG9xh0+CcCJYuxLOdTl2d3jhLMEN7t912HhAYtTa/phxZtTapENo2S2xCeQE+F
Bgea7MuoVDnssttjXteHekBzt8Rn2WkH/DynlnWEoZQ9vdL4DFAXOBbcfYH8Zxk130EO1I12uS4R
CKVKKZTF462Q3QdPaYgI8LiZU81Aaqvda0pnROA6ojakR2FgH7PkmXDfl1GJkxIruW2VXAl5JKoe
6wj/NdtgSd3NStqkV+Y5UmInHdXTgvppKPqj2wafK288xsJ+EUomZSrBVFgEJGsgoQqF9mFEU9Uq
cVUzl+pWA63fNo8x+qsQIrJa1tREF2UPExqtXom1iK/fq3T6Wcm4SHPD3Zue4qX62Cqh1xAQEzgq
8VekZGAFerBACcMaN3+YUYq1/fiSK+lYioZscutd90VUlhOPM1CLuoyW6sA6pwIBmoUSrVeStHnx
SEP0tnSzJ27nna7Eay0qtkLJ2QZ0bS76tlEJ3QhHfI4jZi2DEsER1vdYK1lcmnbPFjo5KgwYo0o5
h4IOJEBIrx5ekeIZ+QUqO4J9gL+gu2sDr1m1KPEEijxdSfNchwnFaBNjx27rcxE6d2Ew7/oU70xe
gswohQHySnujszkudrG1k+6Jf7YvSqyQ5uC6m1KAA42SDpRmkl16U35vX5YGAYIeljabGbgfySDy
nb59Zyq3T5wG+ywamK5vQrw06cno601V9sgIUgYZg9beGUOzo2f5YM7GDt8qdZNrHVsFvuhKQrmL
Ir/pk2je1i3C7m7J1sSWbObIoZOhcFynS0OYNVb1JA+6DTPRnQjLY0rKYeZhZk45s810vEiiLllH
zXzVeLz3ZnDscI4SQRyT/EBEb/MUFR3Eiy/JEGReOrcCmDmBEa4Kj9Arr75l50aiBDGWW8g921SL
CJsQwTtsk7eAsPR1VOLM0sEZO8X02NrNpy6FIFaV5Y0T4rmL0hsDuKmLz3LN9e1Xk8PN5gyUQToQ
NKu7MmRm8stVm9rBCimnBGP9BFgcxAZ3jEM6K5CAdcVMpCunrbTnj5Mt/HqaXpijIEacH/igyRFO
tMMca5dFTb5Kqh0IBSXUHP1ogisZoE+Sz7j8YOFOzDZnc2FG3z0ZdUMy5Rz6Ip+2Q46lTMbJpRMj
xWHTr8bDuxHBKylVfCCPnaIuTL0yZK4HDNexRoJbWjj+nLd+FHvPeaICn5vocqjYpS117G2n3O4h
EBV7r9avZOe9tiO6DkzM8+RUm9T0fFnNJyqsA40ltGqhN0cxjny2FgFi/b5vm1fM1OdkItohMe/1
OEQEOKMlSB3kLhYjoRRpp47aop4Mj8Bx/c7qg7eaBFLIWPmh80J33TrD3ggdIqxqa28Sehnoy8DA
Cu5DjP+VfnIdmf1pdIrjhMtxlRNSZYbuB1yHqw4hY4+aupn1HdIkpCPDky6qgyKg0y07mzTJOP+m
QltVdnkreyBM8dJgRQ8hYyX7jAOwioerwF7uaxLaatHdBKK/aGriimq0MJM3+0Syb2272UigASWr
Wh/k1cIpLLee1R31Ytm6mNHW3qwRvKV/yoJWrDrRv8iYlNxRWJKU0PDaoLivwvCG8KtL2HfDesHU
u7WX8UK3U2oVDO1pFdLba7F3kKHV77xoupaZBl5qvoZD+C7Fsi3yCh92t2kbV9sy2C3QBXfnuauu
O8d9mOI+WueWhf4st8jcSET2nAKr98NqeE/a/ojvk4im4kC+x2Xk4ePum/i2Z20r4ubdCudN3xvV
VTRN2zpZHlKDhBJrYNROpdkW1k2jBYiude+DZjdPUz0dxzyqVm2fE2NEAG9nREeBBTaayNMaw6PZ
dRzj5nyA6IrOF4UdXAE0Y+njkLHC9g2tIJJzAf7uYknM9PggLKWgHvPFZ1312Rxk788D4V0t6bHe
spwNqEgbyoXQD4WxnRrg1IFkj9GxaPO69ESFzHE5TyzCyvipTMQ1gY23oAmp/kuG7lH7arnC73Tv
AhfrubWnw0IQ2rpxmDoVVvEwzdpjNZX3WUxA2FhIv8piY+XO43lI8cybi3u3EOXiZ33S3zRkbWGc
dpK9qQzuNgNe6mCDJvZrFPg/us8EM7ofnAuM4WDZ2SgzpQIz/7U8aWvXMGdPemfjLl89W9vhul6T
MbP2Pt7ftic8l5ty3e3jS2tHGsa+3EYXVrhPTtF/A5ev0eKSeu8XBe7H4v9Wb2pu+PciV73yjyJX
/40Bp0WhK76MWhnP/lHkGvhf2DAz78A1CsLnz4ELuB+ktlSGxGT8Ffhj/wYHSFFCbcxsYBXtf1Pj
Sodq+a9fIk9Yhk4BrlQ5gqimH75E/WzxMLvalWMR5Zix/IwDmq7Mxpmr8CWpM+81BTRB0nXDmMUD
sQfsZIR6QuVV+sg6D4sCoqDgSNbIfcuVULiUWoFTYggqDGcfS4gqlV6fZsaPCD/cS3JJm40JfSWo
iFeFxpIrLAtxhLdMTeu1BbEFlcd6UAiXQOo3noK6jC6W/iZpnvTJeZ9Me9omY3WXi+TBMdQSK2Vj
02vo2nKvfjb7qvdjo/LzFKJaElYgLUptS6J6vzK0ZjemGqODgOU0J9UF2UNj7COpZ2ADakDzg8l8
qbJBm2+ScXCHLUkiI/E6ZdvRcteJXiG8NUxc8YAU0dR428qglB/aOd8I+nOs23IzWJww1PnXfTJ3
+KoBF5Yc/r2efO4chs50HwCAXGslu6tseBBt6bAFHL316PVsaubyzpmMdGXk4iUBHsG1g5MeWz7l
aDkc7aBtL2q9+AQRKGn8IotKfcM2l5mTnZvipk7DFCWUY/koUe71CImt06NmmtjnMI96LszykaTX
ElnSVF4y3prXmuNtCgdNdVgdiqy8ao12l9P4ZJ5zMVnBM7sEdo2pnEk1SLZcsfrBYH8I/qKdYTFM
wHdsfN96xoSXv8+TG3bxxcDCewMNjlwpI+DkH2V+xpd3zzodNXTlEMsBB8P8QsToFBwj/cLJaL4w
M4zRPS1ivtFbEIC63dYM1VhTN5V+F6IwCBR8YyEqqYbGocELYcZ1YyXOASDVLh36faTwHQMcj87N
z5MHtWoSRP5A+jBzPnnG+lFi9VCekicLJAhRi7uR2Q0AR3b+QEMm4CEVEJEGmEgDVCTu0CcoyggT
7mpNMYDQCATJNIywSAyoJBN4EltxSvjIk1XfJ28J+8uh4e+mzaG1kYpvYgM6wfe0k4BPRJMj7Oai
6PrsxE7vNleMlFnRUqRm3sX9+KnQ2k3e3jc9waWoVW9CMCsV13RRLRdArh51LxnJMwEJBZgFDiJx
YqBa4jZ9yRW7RXNsyFH0JRKsS6T4LoYivdQgX7zAIGkxZ6dhL2jgGX6x7hVMa8pW80ugMcK1SHPV
gWIpnEwYnUfwMnUzXkaW8Zgp7owuqPgViSYGOhOApkny4qpXrBq4958GRa/BoXLpKZ4NFrRjlvGf
AboZO4g3Y5MfXBA4g4p3UUycSdFxHMXJSb8gczD1E2z4BaQT6QqqAznzQwJmp7AQjDUKvKO1e6hC
H1qAPKNHwwGgJ5HuSwewJ+8hdpaMr6TRrzuQPk1YPc+K8SPUjHU07UsX/I9r1MSgKCJQ08jnGETQ
2DaEJsEMKl3zRgIRwkJ4IxRVaF6GkzVQlk0Ah4KicQ9eU+0jUESxmz4lIr0M9fbBIWFplSX6bQe8
SFTZKQJmlOr9U5qbd42iHOXgjsycR01vTiBLmXZTnoczBUcCIikT9ZEU1lu+JBelYihFwJTaACeY
oiv1IFdzURNLB6lhAMBUAmLSPOOoSchM9agdTEoqHWRT19SHHITTSO6St6SXEzzkLltuqIxQ5uX1
SQJ/miq+si4TxrzNHgLwUCnxcWZtHTqwUa1ZXURgpAwZPQ5tfGeBl2LhmK1I0dgOFlyJwf2UAqIy
FJFqAU0ViOZyBlVVKGZVC7wqKtNjDMxqAmqFNgliKusoo6z1dQL4yhzibQEICxrbMQaM9d/w7cvw
TdlUf12b+PFb+LPShBd+K00M+zfd5fL/3UerDD/fShP2w/hzlFfeAmb+xUH0bf7GZE63VNHyZ9Xy
TTMnGNqxMkblS2rMv61NfqYZNiUeYAxEJpZ3R1e7ou8M73GSRG0EregEGQEBiJXWbHDXvW2lF3mc
jxVunmFxmmEFkUxAsirm5a5H7BWiPrmU8JUJNS3WssPnp9cviZMZxjUWF0y6yYAAf9UOhXfOy265
CGWfxYe6m8U9kGvNOhit3mhkH9NH5YEMLtLZJltbpGQX38UOroTjEi5Z++oVoT2eaIQb64aiZjfY
RfaGNh/obBETVdubaOZ2ulp9el+2oF09dwczE9zny4J2YxMo0fNiOrganDrSj0KJopu6TiDJAjrc
RJNXr5u66Ta9PsdHq5vNyyBYKk4KAtM+9i0oXXZfAVoYx+RcR3XaX0fC+gjs4AX20GticwbDFGAk
YVtvVZe/2V5psDzKa/MzWD44aJCW6nA8FItubbtU60lYCO3VIHQ2amPaGxhiRzzJnOpPhsb83EvH
4HWir963shCHiBzbSy0VSAmNBk1c3dNBVVW9w1hdrhvm8/TnxbS23ArEQ8NB4SFN5MOtfBulLHnr
ge92+dHtPVJLgsY5UZQuh9RkHRcLaDYmsyBmHPmqCVVE8+wmqKORBTtF6leu9+aakbZzh2WfGRyp
LK53c4BSTGvzFNEVYF7ywZ5NYtL8dFyGFYr4XWl4EIm6ad1FzXiVygn3SMR+xMusyW/AF+DpqMQZ
P3N6h/hc3ha2Xbwlutlc5HVcPIEZRmgV14TNDcnXzu6/Fbb5S1HLHW7yj/+3zj42P9sb8NJv5xaL
asHBRQtkcSwoae4f5xZIAZomttDIXoANfI8UwCDhkiykw4F3lKL3u72B/RsnnRRwe3TJVhc3xr/Q
taAb/rGnclUjpNO4WUQ6wLj467nlGKGRZY1VEgWGmB/JnbIdkp41TdiyxBQahzFItxl1dJEXKD28
IvqQU2Pn3IUuV3RJ7e309YHYg/Oikcdt5jAEE6e8JJyvPCdx8zhTwbtehTSrVYtZrdsMVPlfyWTd
AsdRFf9l4txMIZ4gQveSSt9AuwLW5FqjvjEm/Qov+kBZYA67iEjWdWq59Hx6B0ORiMAlocszQrhT
oF+XoKRM161y39tj7msB5h9kuYDpMPkh8LL8SLHgh0F/GIwOUvi8GUXX+p1HQjWrd/CojfUKjzRa
Vzl/bu0h8e0HdryAGONVUCSvHsv1zRyAcu5zUuCyOToshRkcsgoqLFFDm7IAcqCTnnq0LG28hJxK
9zTkxdpskgfOBuwjWWdAT0jOrKfXVjIjJ16ogez+volre52l9QPY/nNV04tQh1+aExpIWQc9XWjR
+4WWVevR1ElbVMvutO5PVZUAXZjLbEvEKYta6wKMDOD04dZL0IEGI6K/ZTT2jmT+P6fx58GQp7BY
rhZBxGfvYMcnyfU5UxOvvlSe7+qSDG2mWQjS1yG8em3h4CnTgClsmUgsWAljJGEzi7Nv0mCOVhJ4
sy+WcFObubsdtfK1Fgilhd5imhs3Zq3tSj3Hax+fjaw/SsmOKjfbYz3wnQn69rqObbJ/wayt9WHu
NyZT5rYgvCDpd3UtT44VpdvOK7V1DSKXA7zw00rbNYl2nU5le1q4dPn0WBb1rn0rbHHyqkwBI4eJ
HoqYXMGaDCvIgvfC7Fp4dDpkGsLk27C9n/Dpb4ekOIVm8DLXhIpmBLqHrbR9q9MfzZpbWZIXasBL
muvO9t04vAlH49KYcn8Jp6u69T43pKiR19fyHrb2IawZvS22ddn17Tku21q7KUsnW97mKSMCNc+5
nKrHNAjZjzExbtlSnYo+rS6SzvtQppTkVvPZrWauVGwlS7gl+5xuarzwOm3b6OJYZtFVXJYXU9Je
kYt5PRSwIeFRsKMP+vFgB9b7Yms9uamjNHdxHzjUH8Ww3Al7OYV1A82brduW1Tg5ENLm55q7KmPg
AClgg1tzPy7yurE+tBqdet57DwWyb1gcx0Y0oCA76zAiSg2r5ZoR7D4YYlKprP6Gww4lPjRSzPgY
T7G6BHVwLeHBYu5iw+V2x7KPbx3DURqYuwUpOPDInnQ4xLEr0bCiNHOg9V5oSEK3s3grU3uHZQaY
fkY+hRARW6M5s0h74JsDDjlhACTMVU6eEAz3Z8cs3stG/5y7Av9CmT0uFFmWAUxkqmH6WpLORG8C
h9za6pPba/R8aXQCK8cxoevX7K14GJzaOI8ye5OLM20gWr31LZaG3J5u5ThXB1kML0aZb2tTf55j
54Tifuu1eeQTsQ35w2zNHR35UzHhM0ISg8No3g0B/Lmqufbi7KgzllhaTMJWHVwlWDV9CPt7sijU
ZNd6cPvA5ycPa+mZ94ZuiV1kIWFfaqNiQpFMm1oTp4nH4NopvVtrpv/PTHTV2QAAHqicUIngcSmR
9Tmdz+8aIw4G7+xBnY5qVN0dSTkrFpgbwyVl0nuNscW2nbxNeU+4B4CihkW26jL3GhkR6bKI7IMh
JYczUOaNZaTaGpJdVNdQQJPMQ+cIq4I/znWRGFsqMNUKryK6zJXdx8PR1Ixiwwc67y0x3U4FXWxe
RT5AfiQkLhscmIM8tk14mGApBxrqbozO1PvIdpwXZioxGG6AfZNpwRKbtlpU34kYpwWW1nUY2T3e
cGVHCNvXVLCW1FqCyy3CeYa6PoUtww8hqrvemi6RbCYoPupdDyPESqursWSHVhkjZOvpVp/LDRTw
eWsx6Slrbw9XY7yPlrnfjr14Sz1EKK3j3OSRwyJbTY/+6wK/doGsBH7dBW6xjr7G7evPOkFe/EdF
RdlEQeWauuXYBulk31VU8jfoTNQzygsKgw7p37dO0PnNE55jIv/841XfOkHkxYRWWS7wpn+f3vN3
TSBWYRO6PdGTEgiPWoR81wdama67SdAs56V7qt1gpaRH370xPzHxqT/hB6UHfwaUb1N4SnHyQ6eJ
asiupkoa55aIxkbfWlm8aq3Pw7D/9c/562/yRVHyl5/zw8qGHOYK8pFlnC0OKaO5HJ3Pv/4BoDh+
/Zv8MM8PjboQfcRvIiZnNZgPjvcO6WbtaWiphw0G4nU7fKhY08bXHalARvyWROBTr0V50xXwoPD1
10fbCgEFYVoyWenfsc/zJy//H2+FgQj1l+85X6zvP1XJMhpPi3ov5CZQJIjqqR/idWmY51EVV9RE
8fzuEHRR839dO/56Kvzj/kyJVv/2F8CSZ9k6Qh8L8+Zf/wIFDuOOdfB8poOLDbzDTXaZAiXr1nNl
1tXag8kFpNwl7WhqV1Y/3hpYNlgAlqCWdG1BvlMzSqzQaW+7UL8YkdA1uyx/Frm8GAMdmarQEuNh
knmyk6lH1E3gdqsiSWB/N4eKaTz05q3RzYyo5120nAc73uQhfhdE7cTb7BrifHJxDaWU3KfnFp8a
RRXYqpMkgLpJbX/AYipGuPKWBSYjW81J5ackPld1jQWNZQYKlHg21j1kcEfPN2O1n+vnNkEBSnBs
PRZHozNvkuSUTPluAJH4kFvkCclFbkrvvjNt36TETQaIZ1YcmsAta9fX3dzclGn2AQPxKs8x23pW
0Kpw9ctff5nl3xopzp3vHnzzh8dljPHVdlO7nPWd3AeH5bJ7kjsY3Od2ZVx2e+YiG9J01vNWri/o
y7elP33QDtSzO31nn+Jt8tVt8s9fmZ98Y74/JhiYff+VNbOsd3L1lS3TQ0mDNfoN+qltrf+P4+hn
38zvf84PB54b50sWMWI/a8Uqu58+1+Eaj4EpfDv4Hw/BD73q1xPp+4eANvv7X8njiWmkF4tzxIqP
kh+iEz3UaqSSp0M54zP49Wf6sxPw/7F3Hs2VW9mW/i9vDgW8iejXA5jrDW3STBAkk4T3Hr++P6Sk
ytQtFdkV/QY9qIkiFBIvrgHO2Wfvtb7FCRssj0lSIj3Gv14v07PRMFJFPg9Iz/L5tReuPr/A3y2A
v17g4rtjkGUQ5inLZzQZHZSVQXCYeX3xKb66yMUqa40WNRLz27PV7+dq1+p3iN4+/xx/tyX9+jku
lseJvRrbvCafidzD3QsWSefUiXxs/P2z/E93m47RW100xUf7v5ZXfivKqY6CsP3ff/3X5vd/D94L
96V9+cu/eIRet9N1915PN+9Nl/Knvz94y//5f/sf/0BN3k3l+3//18t3MqcZIrd19NbKVDM/rrD9
/t//9ccAn5/l8/JoV7xUZMz//Z/+ozgSyd4B6IxLaTE6LI2jP9vkdKI0U0eEYRDoozLC/1kcmb8p
1GgyqYYAjnFa8GD9LI7Qmv7xYj+0rX9+E1e/1yR8if9ySVKMZdH5WbvQi6fIstQlMEiFbkk59tcn
yiCXcxzVqT5PAqYkzhlE6eHMzs0YUGCYnyOVpTA0wpOu1Wv8Qtp1BYfGngPxRvHVm6Tu3gtoGvY4
htu4R2RlSCs0NodElh2hh+GfSwczRx0m4xTs1REcl3IQU3LnlC47odRd+YFxaEJhVUzCNULze2PK
HzT6GqZf0Zo1bfxKNHTybUKKXEgsqK2HylYzw2/ETjgE9aFKTU8dyTFEc5zGxdhg6SMzqXmt1RKZ
PsG9RsiBwCfy0np4taL26Fus8rXyrAT03Nt2l/s6cj9r36vVyQ/Dk4XyjtYWp5jy1MFKV4rqyBD2
ATXyJiT5wqLDIyT00qT4RFXm9R3C+mZ2Q7FHLNtchWF3DIbJ6QtzrYKgJ/vjVMvo36yPhjATL4NL
T5pIt5st88UfOK/p6kMc91uhsdxea8jsmtcCJt6snG29rG+nZgLuN0bnQDNw3BMqE+v3WpNt5qm5
ycz2NZdHNPn5CSPYodezjTZ3u6yeNl0FbTIoPzhCkuFHwIi/KMHUGyNEWWkK5aY10L+p6XBMOuSI
0sTo0E9elEK9sUrdCWGp2Gxb505oD4G8tFX6bT2TC2AIN7E1biXR/0Z/ERWG4uk5zZWKOAR/Cd4I
fbFylikhkrUBM25FNszEEbqI9BejR7RRVuPaLBGWBWPJ2JjmfjaMrzlVPB3HmpmL10zWwIijMet4
g9ku3LYFFMSzOs8jSj6SKpR1X+OssSTkF/3i4VjMHEXVpUg+y5ukaMtdrtcoHhbzh5TSXhu1uXf7
ifZEOkLTYgAjw6ya4xtZkjHoiVRqeEriHJQZzFTT4yPNTi7PsyMtJpS4JN+xXYwpnYFFhTgjDe3c
dBupU0W/ktXVV0jlmxdzC2UUBBn8LrBFRQ9B9cTcX76OzAlWcfwxLCYZS5DvBFwzham4uBnOs6yt
VFw1qGAHehQIDbDcLE0oE42uwKQ9PtaLNYf/F5NOydRHwbcTLf6dgtDFxdBT9k0L7wyTDxNecklK
9TUgIIruyqIWbKrObVTrFC2BNcYYf7cEjs+9imm3X8xEiWy+B6X1nE/yPUnR77z/EFeG2DjTYkVC
vBnY4WJP0nIk12BkSeaAukCLylXM6NzjaQLz+E0dp4/OEHcxnieiAYk9FAhzwQ0VzcQ5ZGl1YsRS
rbLFMiUv5qkCF1VehgSnQ+305LBX3E5VYptE6scBU6LbVNl3oVgoAeOwhIkE+SpOxq0vpOtYZLRu
zf3TXCDfJojhHInGa9iPr6Pak/A30tZDN4SdhkG2EabAT5nOyRWZOmWKlEGR134hP7ZEptgsU5AX
gLoGXUMRHT1OAfA7S1DfIr9C+0xKPfavV6Gr3UbG0Dj6Ioll/oOCYcaZQLvOcofxDMUinjDZUdsa
OWxd3oUIV1wxXtr4BF/ao+8/KotS1Kd5w/2lrCAB4xi3Bh7RKJngnfJY1gQl8/aUj0yEHNf7wULJ
oyRP6OoNWbUlHUfnvfU76F7nMaNRPs2dbWYKTUARblf/LRfFXTuYpD0JlgVqgJjLThwPSSjeDkG7
1/LwTpoM0gxj0prquLdNdVBcfRQOESxVLKnJfR3S34mQ2ripURIBGYZJvqqHJggdofBRp8DnI4iz
D7cq3qkw7VXGAKawJsyrxymG5jZvsmI1djLExYkxJ+HLhjSm11HBee3HFvw/XYys34sTbsfmr8XH
/8+1yLItf1qLMPqyX+rXvx9+8cd/ViOkKTN8VzFPY05ZOJ2/VCMipm5ZZIyFmk/FF/yzGtF+k8B4
WYapL+TsH96dP6sRTN064OsfY3ZR5mX/reHXZTFiISaQF185g3taRkux8kurRgnp7LVTpp7C7Hlu
TuP49MvX8kf582u8xt8M15ZwAkw+MMSA9mjGxYGl8xuVaJ+xO5Fw5LHpfHBYP6V+fKPV7QekPReF
IAlAKm5EpMRbgDybuoph3ZHHoQt6sS4GZZ0bNapGkpS7cKU25XeBpDVbtg48nDj62mSw5zA9S72k
JYCz20o5B1mDXHGEFxPwJTpaiE0TRug0N/YgaltExD4bgoiiJgt1INoRSRBqlH6v5NQHMSqRy9TI
lELwER5jGu6MKdS3LhyzVYsQnPUmrPaSBb43kMyzURoC07r60SI9ziMMgIVaVYereARVochFu5Jq
llYCFfd9HT1TqR00/NyWlU1k6vXVJs2LDZjrmSZ1dedrKVKz6Ghih0N0kD8LIqQGSR0/0EbCI1om
QgQhrdAqoAlvbw3aAwKSHqXCvCgKm7zsdm0pMprvpusxMXeAEekNEfgmtckOE8SLL/VwMpA8B5YA
USR6aYGE0dJV0fubm5SRnAB6AzkkVET5qUmCndUZG/jABzUnU6eW+2OqAM1Bx12X1UafaIAXKj6c
aG43c5Je1T7H7WYO920kPrEr06IR4p26hJ6kSCTlWWEfnZHLEWzqhM0Yep0ZbaeUslGLNYwJMQS1
CktMoSfPnWrh54XHLAJ/jvKW7K0g340Mziy1f1ALxSEQ7qQ3+lPTzuckUm/CjGZY52coLPpjONTb
Yhq2AZ5Zgr8Y4ljDJu3RxMnpLeEJJBnG6QO+wm+Sbzzofrcqan1nzhoKxfpZV1vS81qMJkrzVPDh
UUONMB3n7+Bll/mQA7rUVZLxUA40jLoqwD8zMTduTRwEquHbgW488xSsYN89Bb4f22PTxiuh67ht
qo+piDcmBE1VKZ+7WnwSBEKdDPIUEz+mwrIcUUtf58S/hvsy2+EUHJK4TtZSUCY4aQ268tDXSxwD
TIZi/G3ZqyVlFN8lAlJzNrSjOTb5LiIyGycr6ZOafhtb6mNXNsGKGCNQNOXy9MTDrSiRzNOVJvv0
wPSiYiAlSNrNaBJG1pGwvQeDveBilcaz0rK3IQn5mKJIaG9lIp5IqBZ1OCtW5Zuv0J56L0QNX1Cs
MPtws7r3G+CYAtUtirnoNNaRfqhKAqSoh2DJYZtwamGJdUuL0FVDBiwp3juvnTEb562f3BSYDxGm
dOIeXYxthhMGDcLHWqqPUi2bbd5RA0vKApCTq2YDFyP2gqg76FKAsC0p87U0a+D0Z4bl42LIUtPS
K9qqkO0sSs8GeIoEFWFzzew4cHy/fNPm6VvtKy9GUm1Y31DASKj1JUEgaFs4+BSvS4mr2YmuoUtJ
i+y20EC925Lhpw9dkt8MfT3AI9bPamRiS0GwGKuugk3BLcp8b1QGC6LEmzaG67xTAvCJy2h22gWV
v0mVJRs7dsq5PaSxwOgrPBKp+EDUE5XO0r3003U+JgAYkVk3UUtoFq5AqRUpidXIeC0HyiFwXQ2x
5dWQ3SVSNqx61K8KnlpsisyaSP1MqH6i+jibyUmRyw1kvGsJa4+TEsU1Zmh20Fe7LHlbWfI74qFo
hKYTgXeEO2dy5mA461KcHV3oTUObWaw53W4Q9eI5V1sk0JHwwSyWlIIOZQWXw/Jb6uoZWUCNQynB
NdTHYb/OOdGsWfrDB7/iCnKX3uUEJLg0ga1dBwRwx8QV57uGLMBQzG3HfMtWC+NOqwqqYhKzmEoC
w3In1cfsnVR3uj/dmbk2P85+Hjlph/1Q6wLJNghgbCeqpVIkGRWAVOEg7sKD2GvdYx3BJRzNKZoX
JyZjTDVsNypHDjsZ4BqYWY0Tq3jSe/TWAyW2gdemKc7iZOySaroX4R70EYSCogzvu1S+M7vK2o/T
2G8LAc134aeTU3bxgJ5AfFIYnrjKqFaPnV6S+1dkuOpCbnTC4hkZ+8qjjP7z1pe1ccV81nJiBGXe
59vzRV9MxZcAN4ZSwyKjCLTehfJFzjKmSEGcn9qEKMhx3mr6cD3Uzerzy1xOOf64Ds5hDa4oj/1l
EdAac5Yg8ztlaXoE633PqnRlZtkzyyXEk8niB5jSTT+Wq9RMNo0cQtuUbVPO96xUB9rVqOeSa4DR
N3olekrYObjA7Dzw34tOp+rlEcDWc9LF4OXzt/633xDwHMzLqkY+GG2rXwskLeuKqLWS/DSAlQum
u4UPExZfNM4vaINLChm+ZYU8E6A/EJyNi9+hQfAwZUnXn8ogbBBNq1uFuQrpvRX7Rt8DcRP6RwEh
x3VucQ9a4nYwhyWTl2iNxW8xx9kqFObumlGSdZuzK3VFT/IofBtcG2zlYKSJNwxOkRDtRp8jzSDz
3OjZwAwCmtkNFIeXpE0JmUCBPuPW9xtJ98I0SrykVd6EWl5pKAEdViUdc6MlOUVFUnEIvoKtiNIm
1LeQQ98j1XgZDY1TE/Cq0UiPpMki4DMmYSNKQ3yEuZnZ8whZg2FORLAvrDopCr75nZTdVYPG/iEh
U8jICm30st3o0uARwucw8keXEBuJhxTnDDQyd8eZKQfezoMvvnTqqtOMLevikymgvzYQ+Uyxir2w
Dr0cRwDOQdCkgujOKqXHyGMGY4v21ihkm7rNNDuTxh2DoZckksM3ZBVrUef0aaThUS4Y1ChNtSKd
kuMgk/tM11OYJJIt6fO4r4zmi7EFbY2/lOW/3w88kAuodOkWLrjhX+86KLNFzn9rT2BKXhQkFe5c
9ulJF2gusZ4+M8xnnNGEjqSPiHB+gBbTI98KXDrE7RvYqUciShBUyUetMB+Bt4WrBqvCqutEdUub
ugMGgRUErwwW10LNNug2S3eQoiULFeY8cZ03JBfnwOmq2yADnEGSaMFuwCkd/BBmhmqlZzM9aP3F
WlrevVQYTp3J97o8UTtjeVVaydVR/DB3ExKO1vpjbOpI6eTvukGHvxxYBqx0o+fjnW9hiu1rpyoU
YnQm7pASB6B8q/X9MYnD2yrSbjIDcMzUPpoJCgzqRtHTK3JDw6r3mo7GjanROFHwAongoVxJF14E
7gmntJQnSREepZDUn6plUhYaCPNngZyYsfAktV6L8ImtvAeJS78p7F014YBtmsPegKI4SD3TK6Rm
dMjvlKE8Wea4bWA7KYP4VgFeyg198fHQzkOK1Sdn4jQORq6vBkzWoUF+dATPRraia3RayZYoLa/A
fqOnxICUFDSFHnAu4WHsBet6qNoPrP8+TJgFpgNMru1Q5JGuI6OkliQiwNF0RArjQlMKMk8NZiRw
VKhJh6IXKGAiDQ9FAelDiK5IiLWDkBTGRNhn7OLhEGxMKX3qy2ZVQV22tqrqShK7ZuoP5K8S3Vrj
TO2EKiYrVVjHg7mf8RsbVoSBTAoWwC+L7oxpM6ZDDFnvCobyJsjbfTBUh3yB97RtKhDpuswtU2On
BsO+/GEQKzBxKCVT24FAvLAcjkLDKSHVsWpnXtEZS/L5la55RkJIjnnCLK1Pq4J+n9E/lKJAi0U8
0g+voayohzgcCJX1fX/fyb3hNIBcHSP2cwiqUO6oGzaYSBqXyPdN3VOFGPi9bQN3e+/X0hdb2xdP
6o+R6C8HaDm0ptgqk46oIuJCm2OGbnpEf+QP56Q+gon+YpK1TKp+Tg/+aWVQLnZSOUQ1n2esDEXx
TpxNP96QFZUHj/RGv9j4lj3n8kpLlqSMiMSgz77sjL98sqEhUoaM5ZGonAlHWDSSK+jLC+Cz2IYF
o+Rk7PdlCaq5kETpaFY44/S4QCcfgx0aeF2nkYQPKFXXY66YNjOKb0JUnAvRuE0p3zj1OG0j344B
Gap5G6yyNnrOY/VBCNPyJuiS3tNg2K8zrdtroC0oLLwJoqhDibcGKmA8oHa5LcknppOy6xQ4l4qM
zH/aaqV1HhIUemzbBnm9iYyYrhNsITSdsZQesrL2otTfQq+lQQxvu9Wyl1mcNCcdgqcK396DHCzQ
g0YJvvhWL8apPzb6X7/Ui2lnoqs5CGBzPJnjczi/TuYXsYlfvf7FxiEKKTVykEzkm9wSYmVXyv0X
t8Xnd4V+cf8xD07ERA6mkyZfQVay+ZrEcPq9q/gvh2QXs9Q/viUTI4ukS8vA7q+33mg0Q9iQO3+y
ZEdu39ohoya5j0bji1/jR4rkz3ucWZylYbHVJLZai9JUurjQFEf5EMylfKKMeWNTc+/Sle9C7bQj
58HO7YctEbiH15vICb+N3guZmq880c1G2X7+rf5A0/x8I//0WF/GXVp9ZJUWAuNTu+pd0RG98bZb
Z9dkzXgL5X4lrfmeV8ilbdEOPSgXvaee8rfP34W2dPsu38Wvd+fFmBzoQWrKpFCdHset7Bl2u7Ku
DPvcMFty1w+ac9DdbG2dwtW4yW+1zR3WnfW4Yd2z53UBwdildeZarnDoNvm6OYeIWe3A/VbY3QlQ
y1rbWttiP2zq+2x1+/lbv8gr+P0L/PWtX1TQgtxEaSlE3Jd2YZer5r1clXeSC57W9d3Qjbx8le2K
9dXbweu2msOBPd4xWdjFp8Bh8/EIC/juO98+f1c/JEmffKGXsPmIjntt6LyrcGvZoTNvsrV/l8Ot
Ytxg67Zv1w7TvrV5qjbyM4007/PrL7fvP1/+53N0sdqw1AhTU07jSZwLzxiG/Swkp74Tiy82pWVV
+ew6F6uOCWC47+d0OlFT2/3wJo6bAfid4lUirp5y9fmn+vs17h+f6vIwKWQs/loVdycwnZz8bsrg
+v/tAhdnPmU0MTNnHKASbS/H9AEtw/38Cl/8MD80Ar/srUJWmrkx8aAV5QnT06qUiccxv/hVvvqe
Lha3RkqbuDfi9jQuvwqADGv89wNo0ZmqP3+KixusK2ZsXU02nQbsBZF+IkzLQX/++Zf1xd1lXKxK
uh8IE805doNRd1Qr95K0PSvE1RtT48SDfOpR139+yb/9fRazEm5LBdDDxSVNVB3Av9rupGYfdQzp
i+B7ff35Nf725/nlGhcPTUoUiFCF6ngir4j+/XWWfdFV+OoCF0vinGSjEhdVfxJZtGlGJ0r6xdf0
Y3/87MFfNpRf7uMwYujjp9zHnA1sbJu7fgO/xZ6R9zmhF5w7O/uCogKf9PO1ZvnUv1xSov8ntXLI
HvVIYzhnVUXablf28CId5m1vX5FCw3+wNS9zgL5cC/ZN6y27+tVTdaXsOLWTIOlNrb3JnXD91dv7
2438lydCv7xzonoQJZ+HTjovG7lggwxWt7nk2MladR9ye0eyy/5DfOVwVt9Pe+bKX6xe8rI8ffaj
XPzusL/0sLImagm3d2d3mm1Zt6196t4QqHoA2+k+ySvfzunYrhCFrE1H+GKF/uotGBcaJ2HsBDUf
yvZE4pQ9unQ24+/aivSXffc+bkovOxhrYS18BE+KM66TMwlU758/XT8OXp98C8bFfZL0CraqnFsT
cuSK0Go7Wqq6beLc9dtxu0VFYc8n8i4fRGSo2apcG1cQCtzOC7ck0z2nzhfvZymM/+n9/HzctYuv
xBQsZkM5S0rlqWt9rUOZXc2r+RDtJfst2PqrxDG35Yam3mF0jHsP8TE/UbtOVreRuxQJfxQH/xnd
azwQ/3p0f9dhWOVmuhQfLn/1j5k9TgmM9gAtZc4GjHZ+zuwZ53NQEDku/EAALcvTn/YK/TfEz7js
cduL7IlL0+7Pmb32m2Fa9L1xZIDtIaLr35nZw7P8y72kiQgXCZYnZoJ/SoAzL3b2wK/EKs+K7kQI
CG3WqHtGmccWlbTEEfapO9Xpgyb54C8K/xjVkH00aWicOu+vGItvDctnXdJkmCn0xMgs3IddfJwM
whPgEN6KYvK9F4FxCUVPQ0wYMpoz8rGYMXT7oh44WVOe81F8GGbIkY36aFWkZpmhpa78RWFjCfMq
VQWB7OwQsRHKH4OQAZvMqG9YVp/LqbjvQ3ISi7ahfa3r32qY4/mYP7SW8EBm9D7UDfb36Ngn4aEt
ouemMLMlFvSqVjRiUALTy/hgNqY4fS3LBWt68ZRNDEfUWJl52SlxqnTYYIK/n2TO+mDkV6o6Y8aL
SaJQhygF82N+r0LUSZR6h6ZN74acKG8T4ouWmDeEa37HyniFJxDNf8XMWAzi1vOH4WSW/SMxhG9+
Wzz5FarlIn9DEg/iM6kDr8tJPWuM7ApF1yaila/GwXMqMwwtU5P2Kpk49lAWb4NkHUHft2421UyD
ZIbpE3iRFWxRptqScWgbJvWqT2cndeeorFdTMazEetgFlrUJZO0GsMkHgSTv6NvvlChYI6l7zIIZ
yZPBm+RHssRas4cBAJQsxhU25kq/1mlQhdb4kcZW4fr4cwsSGp2uRtqN4OlBDbQbtQUGZUbJnRrI
H52s9zAPlz9nrrdSle4xAxnYFADjMP+supbRLiEZ8ZqO+BPx4MkKe8VJDjURzZSR0rZvNVtUBaKn
k5VoMCjQTXFdtSG6iYQZclfyq+GtY0qq6ejPIsWuyJvWAVGt/abcR35W7ZbRESoRJsdAP28MevND
rq26Sq1Aufkmr4QOS2xHdvu5oXXZccdpBjpyc+Ymnhp+w0wuA2+o59siqLlqbkJQ7Ve+2N3OprKL
BlyRhpySYl35UOlS3H99l7yBg3w0IYoBIChfRamosWj7JHWMOEXFaAMuFFyNEG5E8mtcwUhyRxQL
etTiWhLR/zeiQIZ1OEyAdMz3LK4O5liQzNnEpceAfKsH00RQU597QUYGbUVg+mIp5W7MbJKiX5uO
CHmxlqAwzthLM6iUezVPmHwgXw62qWyFipskw4NsMhT2aqEJo298DX57llsjGDw90pSVTlhmfmfQ
vS5cOsWzAigpXSYHZmZcAYKI9KupisIrpRqDJyaPXpNyC9kLfeFUMgTG2Uw05AA7FxpdaFjBbViJ
AnR0bbwWU4FsnioCfm30ClMfMwX6Z8J92qJF9HVYteMPYIWSEjgykXA7pNh/9bECsaHIj8kgimS9
IFhhnUlDyR11400MwDA5iT7VlA2DX1hLwIqqVV4UyUZwJ7ZG2jzJfh9wrldmOQSwnen+c6JFoXoU
4TMJNoGhXfn7Bv6f7VL9dLv8A/IA5OOft8zlL//cMn8o6wlgw3SIno3N7ueWCeNBkaDEgb8jiwTF
288t08DGSKA040/AC8vA6+eWCeOB/pxs4oAWUZUR9Xahsv9Mdc/A6WLLZI7GKJu4OUATSOwXHs+v
xwZ2PAYtprlsXFFBLIleI2OCXJ+y70QEeXhyXEt2Q/cL8ABZOlBst5UmffS49e0iy4bdANnGhnUQ
Q57sNkEReMwdkP7UBZy5nFlNR75bbMSvg19Dm4MpY/c5mKa05Qk3MiioQjlZVwjR7rUaJFk1KKxo
yXygD3CPYJiso+jBj5U72AD52Vjga8WCYesWIJs4StEug9HmqwEjWcu6BhEw2mg836HjdStozcNd
jlVXx7Ibl+O0EsfcE5rxBnoC+fa4e1OhgvuMfVit1tri/+0xAmdGfUvwFprdqTg2i1c4aJV1Iloh
aW/N27T4iYsg6D1j8RgrmI2DqLoF+74i54nURxUScl1H2x6DsiSFhjOMA+fxChLZTFE7LobmMdsA
8uThZkjlpvUSiDDf+D9s0Ish2lis0WkEMC7DLU1+/c5a7NMxPuoZP3W8GKujxWKNT3o9zJiuq8V+
LSxGbGmxZHeETHZ4tJXFrM3QEYkICzj8sBvE4zdF813G3W3wct1i944W43coNS9hl6skG2AKV3GH
x4tNXFkM4woxpMViIZ8WM7mOq9zEXY7nsLiqMulYLcZzkXk0kqclT22xpZPOcqcuRvWkt1wT53q5
WNgBNOAcYMqt424XF5u7CUbEx/feFO0VK5vbpuI6xRdfLAZ5SYserMUyny/meX+x0Vv46Wd89VM1
PSI3X8EteFYX432m9DcQFmZbwpPPlUdvxKXfL3Z9MO9sotKE+NAkIAJPv7WY+3ulfpUWuz+SSxmx
da4/h0JmwETuLM2b8oaUwhnlDLFhqJLLU9ALxq4MiuZ6bAqZifoUEBmulDgdydaEyGAOu15TSMc2
VnU5blqF7ClNIaLCr58sFeIaKriNmpRcgrkswvlNPdCv6TS+YjPw10IWzvdKWUi2KmMrUUrj1qz0
fStN72lYwZVNtJvUD4O9PvfenJE5HWLCAEGLsB+1D8Pv7/FcWjgUjO9Y1AArs/u7Wm81kPCaa3Rd
fMX10U9E0zXqodwVBqQNhqt2laheQAwOd7gJXHKc+IuxJw5oCCYmm/5HWvpX6JM60r1aEYV9Vzh6
h5vPn9N9JeeiNyMO2AQdkjoUdYaf74ZYblymY09xiR5c19v2EKoC6lIMs++i6Cd3haiWqA5N+MJS
GqIb/XGG+c/upNJS+teHudvwpWlf/mZn4q9+2ZkUEKx0osiosQydHuU/7GDKb2gSl8gAzFi/n9j+
OMyp0m+k5LApLduTaMIZ+sfOpIpsWkiBfhdm/7t+MO2iUcEex6GRV2GH1LCfmRbb4687k7xcvEyr
9Epk3bI1FYGFpA7fYKkG67YSzmUossiiB05SeWSdNjccSErEnThm+tFEABUdOSneAUgGlC5h+J0U
C6BzwMptKhsz7VZ663vZKG0GOC9ZhhhjQNDMPPWp0VpHR+kGFT30mhEshsFBsO3ewft7Aw6jVkBV
Okkly576pqviOphIt1OagtNhlHWbuKw3tWXBlQ9g2GurWY49kkSIXNf6g44/2Rj60yCj15pqNcIz
Lb+k+PVlUXzEuqWtDN/vnBJt9rpGeuSAuEPNpzc77Gj9yvTLfSsLG0uJvSSMb/0ek8+ogNHpy/E6
h+dqN2a5GvQlDp43t1cMPHCzOfBg5lJus76dLSX9LkdhuZ5kJDNRQKUvTP5dnRY85t3oivkgsJjE
x0QlYDqCV+blfZk6ZLBi0R6JPTAm0+Ostgu1NneDIb2HSCMAFcthdhTXIfERdm5aOwnVqI1k52jl
8l0FfkZux+sIAaTXzcBwp2zAoGF+SAJhqoKcX48hImFiM57iWLphSsO65KOg6UhTdCZduZuz6CnJ
K3dIWc+BVcIDjaID8Kp9XIkfTTPrG3Td4CqjbvLCRkcL5SvXXRs+hDHvPyDRAc9gMTt6qW46vSjt
MldUwKTYB+ME31vqDgHpAxH60KmVgDZx+IrEsWGkYuVUNOEjMUc3Y62OTmGWCEGVbh0EjFyqvJ3s
FtmYO8T8HSmLFiCTRF3TkTgXhbm0HvjdG/hJ0lihSS6fpC46wNk+1JEVbQUk8+RmszGqMoIlq5lk
JxMUYuzbknNscYKQd0DxY1CyYF0JmugkxsVTFVfRqkoRLXVR7Y7EUeoDbxTNB8PbtN9Ukngly41T
asMCtgPKF3TbJi/vO6FfF00O2LJYQSG2EJNExDs1vUXa4QB2J0Wgaor9Izz996bHRRmP6yEqJzfO
q9TO9UXhyaeajKuiGlonsfpbM0lXrbiraCH2Rx8G/CRaKMzzs6TlV3KPfFebz0KnYy6coNgupWPX
wWQqwhk6FFpYnfqGGzTyHV0IfQhbZH7mvCjajtJB6Zyh6+kYt4r9R5iMiTtmCmrhcnlUk+Z1xD00
FCYmw7FDW1oR89tZ1lrKtW0oIVKfobPWgDuVyDZzC726MFKujorvIMQZVpZgAhUChRyMYbsr/CTG
GKYS4dGiowuT74XSP1Zz9wZlOUatxHk0UIarqYOuBawP21ULvZ7lqMdY0eUygQJB2u5ZeyjbzBJz
5VjhxMuzdqvlWayvlA7J9n0vJqa5DknjWncqljxEQ7mESBACPBFIwSh5Zi6oJFP1eFU2WHKJsqPj
M0cnIc+m7tYSM6m9HaxaUPbd2DFJ1qAWP9azKvfnpC03RUDxV8ZT6hVqokLW1wK7EucXqQ5uGtDR
RC6MO1XNu1Ut1FghBX2vGSMcaVNVkTHrb6QHNHbS6rBVY/UxEXQk0n2PoFyc9Z1ScDMnuQnbAkg4
kKfiufTVF2DOsOhNPBhIqj9wJCLPBu0MY2qQbZE2Gu4BTCpTMh6nsnHHyGKeVApHNa+vBb/bZ2bx
DDQKMC4+hhG7WAPrDZ6UljqNMu5C5CwiWbyWUb5ECVnrC+67lbXQg4xHNdci3Jfjk99YByGentJQ
/pglkVcJtI+kz/CjRa4w7+RpJKxUqz0/qG+ShWsnhkQYj+4I4jc0jmKSosQfixfkENsQzKwzCkzb
KkCwNjfjSTeWkGTN4iQiCNfQ/mR3MLTZjcbuiHJmTzfAd/gWyo2RA+pqCrFdK2rP2k4gGQIyw5sR
+Nq5L9y1iTtrwYNcg9Q0Ea9jMeZMZSbWwMUx7y1ps8qMwnQmUs5VsBOjCBuLczaWg0fEwqE0W6TB
JnbKQDLO0ZAfwSMRyEaCjJXTP8kaarP2RbeGyZP75Hbi5EMFyenMt9hAIBHf+13XuN2QP4Du28VC
wnvs5kfU2tiLOl3lHiCqB6iq4NRF+95Y1j0L9EosAY5kYWvLgbJhtHZf9dFaiEi9wBqx5Tx31WOC
tbTiNWKjQ9YvnlSx3aMr9gmiUX3c3FLtaGK9DYSeLaEdAhprGBzDJNla2oRGKiCZyJSrdaNFgxOp
DXaW7opKZJXL7bc+w/eZkPqidlgPpk4dvUTM+v/D3nk0t7FlSfivvJh9KcqbxUzEwBP0TiS1qQCN
yntfv36+S6MnitCb1oALTESjF09NEoWqi2vOyZMnc47hX0F/kktNxeO3FqnKzIxg1UuSsjQRCjuo
GdAp2qynMujTBLuadZOSChYmQltVf037kTynEwVMsjEXUjB6S6lTDmOs5qZDR2yNC2R86Cnqmalg
DSRVeTGpUznBdyHWBBMPQ16E+aahhV2lHpwBJ3+V5IwOkxSNQjY5NjijW42JypIw7DMVjVEIjDRo
mln/gD7LDQV9zNKsB+i5D70pL/LKvM0i7xabMXNWa8GBm+S3cmavNL287Gz1EKLnVFNBeuUYv4qy
2wgTmcZSn5wIedgmOB8Vi/bOWr5MdbGJSwYd0aX/b1DoRYpBKCr9Q9gdPJVbRT9514+wW/4ioyYF
t9k2XvUUfoTdeFri0PHcCoCAk+g6eKuhOF8sEQwjB0r3Aw2QXPCthuJ8QZRBFZRoPMN0IRX6J4CQ
eKCf6nEi7MY3k44E8CAaINGpeh92j5qf+GoWyKeaDVXdTcZwbirfMu8RE9nRoMu6NNOjwG6Fka2j
HnU5Py9xkTeV9LQp8gW9Thdx03wjEpvKg9Qvq8i/TUtjiTXuhZbaGOygxFhZd5SD6LLq8XC1osPa
sCoiGoP2Ka+5zvv0CtEibBAcGbActHwmB/kdVq7steqhMeAkoxSb0SfRD8dbVZeKadLXhKLoyPWh
hUlTsKoa6jJhOt7iv7Pq/CigObE+6y3/Dmn369HOjpywuKWnNMEuT/0usesVZfOVdiD60xpjUTrS
YrTGs8AhxuTJlrkTNlNCK8oAtTnRXE48y+0Oarr3iYPB21N9aRWoL1YtTu6J/bXoSEyEZP3B2EQK
mK1+GMoxDoedtMITHJgGzuOqkYZlpkMsU1pqIOZFlzcXeIGV17ExbOIcVMYs7LXnyzcyBma2nCGA
LPfH1AmoY3g0WBphuqpbjAv7pjnU9eoAXWTcflxjPSiPVZp+89zmerANBBhpz5yQB9AOCWU/LrTj
2NKfNAsIxjGUaxNvehB87H4k3V3UlYePUNeagGzDKqyGJdTved4GR03FmHlerGPJ4IVmOYnCui1P
6h6PnLlrhdmyNigRHVKjgrKu53J9kNnIr9YWhkOKWoeYjGVySdwW6LCPq4pIeRO3RYdcqKHW7NFy
n0x6pBT1aaJmNHbEeI156AlybDrI4ReAMpn2kPplQUMQCISmS1TU1Ix/dfKsG6sH+hURNIyK7wL7
JHRHmDMFN7eEobdn0Ew05sOhpVknkq9i7qPmXEMm1pT827jX71K7x2qqby8BaHw623OC8sJ4DPPq
OyHD01iXw6S14q+eqTMVsCmAEIzWaqUelqkUzMOu1ua60Z71qgbh34lWul/e2ZFRL3BDiOeGa98N
NfqHuW5S+7G6R+zkhF0J9YQhIW9Ig8qeyqHjHceedOLdxe0s9bx1ik6C3gPnJMwX1E+BSQ/NNF2G
WX7eauSmxMTXuQ4v3cy8ZUwAjWA20KZs3rhC1tvgJzZUeG8szgM3ng66VOEBd5caBqoeg5QdSpY1
BjMuRWHDimaS6VOkMgnJJZ/mt7KnStTxjYd+cYFhq3cQ+b6wbjtBWmDdp/l3E+hzGqN2IC+QZykf
/g3nPCsgCsrp78+VqyaLmyTdVp3nfW8nCyV4geeg36NCDn6GZn6cLHTUU643LXrOTfm5nvB2sthf
dOYn3TSqKSr6okXt7WRB/JAfAL0gfeg8i1D/wcli/lJqoGqB5CHFBlNRHV2HWCyYID8zlFqDGhQl
g9PR8NeaAsDZZsakp3A3pmG2aA0CzNCNj/U8jhYI9K/kRlkGeX3qN7jKIa2LJgXohjRtNGXdVfkm
avQ7qLlIxdfH/agceY6+Gn2xH0nZMPUt764a4nPCsGhuJskGo014cj49xG5MGWyk6HaYDOihxhEV
aTupCXs1/7BpMvsoxarN9oXPYObIk9Ei4HWie5NoSXOVM5+wOy8N9I+d8JZGGJGjmqe2gaSJ2nBa
0G0SnIItPJpZBnRFMokEimVOgzZSDohnj+qapiw3udLYS7DEO650R1irXXUYgoHwe8vMbA5Ng6Jk
1pqnRmat4zqGluAb1xpttmNWf+t8c1G1VG1LBb2OzrHPWOmHcYIWUBedhF24yGl8AVemMIBlAPBq
Kd04QrU6G/OZbIRHfjn2E7ENsj9BNDBi0js6/Be+6SQLKXS+9RTsjbY50gF0TvLinD13kWBVOVh4
BhtYS2r9xcCp1Ych2BcuZpqC6HYs3ba6ewPutDAbWpidFqsYCp33wcDJLskatCfkYpQ+PBmwnwd2
bs7l3sUHLTKTr4V+QGkBecHa9jKsXqz2xJORZsKjkjqI2U2Hpr30CQD4N07WmO3N6iL92nAbboE4
ThTQwISB8dIIZMbGpiGPNKxo+R7CUKKcKtvxLBts8oRBuwhssuXOfUQmEQNT07zSM/NCIkKb4up8
5CSwKRqDrkE/J1YOSv9CwpvTQAr5yMgI+PsivEJf8oFIaZa6CcKv0WOYll89B7oH6hYdaEpkrnJX
6ThDKMm7We9NAeMWmi5KLhbOplkAzTVoZiPKlMYYLTl+V5GqxXP6tsnTgKVsw8hnuomsC0yB2yxL
5g7OjsK6xofPUQVT0CzOjl6pACApsUmAqnSKDTCpFSc/pkB1XYzRhZs39lSXw3KSBZinomhsz2hk
biZxmR3KWR8fAVZhsVjdBqZ1ZOjGRdrSEG0FOC5IyjgukxSvmtQtwUmGlJmpqd/ytLi0W754o/Nm
gzGeyI376LaSMtNaA90m+6Lp3FWnkVMprntgQS+ZGEx6ZDBpKB5xkSoVHA5VL6roe4PyERa0cUvj
sEHuvZoaFR3nMSM6qaVyTYwzkyNzjk4Mku4xSuGYkS3R8UnmQ3QhAUdgXUmqOG6kaNjUrXnl9e1V
FCMi3NtniEtEU7J4fdqpaE4g2/mVducUFWNr7o/1wh9aEz2AAtqJIGc0Bnl0Kg0bvtdhrVfGPMtz
EmCs5WeqpD+pfXUcy9JxL9fpHCWldC4P4wb58NWQ18Y0MxGfli0OYvJEC4ULVNPRD7hMLLpOi6pW
lq7qQUHRTO6njdNZ1zAD+fl3NSaQGAyhtkG3+sSOpYuikZ+qhCmhm0lAvca6zsvipIpRqqZN/inP
5VMLc7Aq7E0g1Fifw7bB1VEJF/hGlUeuIi/7FFGMhBE/LFIeGgAVXfc6vdMxBF9kEnuwF9h4orWY
TMSDt3IBBFeZMmwKM8iWDlujHoEyIiU09aETjLV/WoHIwiehjDQE2iUe9h0lVGqBlbwMS/0qRyiC
Zt1LxSvUaTZS2JUza+N5+To3/bXKw826gIjLkJtrfJyUKdF9MY9p7SerZlJHlXvXmuNdWRcXNL14
Ky+WVtQhG6FZhsZD3VzmNn5tZcT3S1/ozNYQFeioOk28pLwPS6IbdvnMd07Z6JYAAIiD69UVck9f
I7W+KQuUruKoudGdUV4paqfMZFklmIEcjk+3b0wHH4Av8wpIhop2UFbhZWpqSxxL4AhFyl0XgUc5
cYjIrhNObScSdVIIpaX6tTXPu2o9urddcKj72nkKU4g49GsoJdeBlvDVpPUSe60TNc8AZmOlWsmh
+aSw0c8VtFLbwGRp65inSgbokGWOwTym/X0S0JmYOd1Rlcf0t6krq4/ZfoNhPg7KJYJlhz5KLqD5
zY1VA5nJRb0u6pPWBJc28GLzLO9MB/ycxZkTLNWiDKdI4t8ow7jE6CE8SiW2fwzpj53BkhbI7EcL
re7Dyaho2qTKbb4tV4ivemvcdtCjNG2RgWUebepY4qkrSgVPiH76x11aT3T8aRLDugkzIH5c5IXK
eDEOJ4ov0zZU8T1bA2C9Z9cwWABg2b/Wbj06pwrUgVN5lMaVW9X6AV5RJ/jM2jbdzMOwHPteZT+2
izmHR4gbDQ1yhnKs5sYBu9HahN0X2Toi8/T5zqRS174GVs4O0dLaqVfSyi/0E5Ikb5X68pM2yE/I
zN9z5Ihe7X41yNIssa2ZGsk8OvdYaUo2i/oYm5gI8rTnL6GNobDhokqLZ84tyjftclBQKukKf14o
9AKrWJmarSTsj81Dj8HO74HEFd29AIpaSRLM/KCEyZcDDQZNokzBGK8Zfk5xJX5CwH3dqp61yNGp
KytzGdoVAb9mpQu4hfC2SjnHwxc1K6XobtO6B5KMLw19mJmxcY1lILSlsBbEsoNONxdIN4C+KajY
oCSo1DnecPoDm+tZ7XTpNPaZAoFZXECWWLDBKctOF1CjgmeAjz2DNWLGbNYY8obJqYWfBPIrPvpp
TjTMy54smH0/nvnm6AML4O7Wo6KGjkWFury6GSsV2deuw/KGjA/voxOC3NuyzI9ogLemWSLNFfqn
6Ze942hZtJ16URbtISt3ZSH0BBHEv86RwQdbj487haM2Uo4Ctz504+zGyJVb3Ec4I1LrplL74wyq
FRqLjgQzE/VIx/C+wn1MMYmLD8ZgXerlce95C7qro1kT2Oe+kXNGS+Z1k7fHY+9PUFy9j3VjXUSo
A1TacEQRsVkN5VDP0948ThSbykrCRihh6GwE5qww9FWUAYHI42FTatrUM9DeMUfzJuyS5EzD6hcr
SJv+yg4ovPWpziPPKLw5VHy6kxTNC6SFKFiWq0pXs1kph/dWRwxj982ZldPQ7JRttqQfojpKCnRB
Cq3D3dyy2ZTcZRS70tJJupCY061ZXEaMjMiVWUtrM7CSpelnBw7RllCy0UJzMraO+doO8u/qukFu
8g/pWBnAbhw+ltfF296yMdhd8FsxjtdlgeUJvfkf2Zj2xVQ1QxPOYiLf+ru2rgk/HyQ1VFIyx34H
8vFzJNeReoSxhY79n4B8lixSrb9J9wLkg78NQVp1+A+3IkDAn1Ix6ka9WRRVcpYqCHIdV2oDsDc0
AQgTtlSd6lACaUGxENp7wIHl25iN/hKD6kvOJCpt1v3QYumVN96qxAGnyAPiKNuIYapaJ3KtFJQK
kb7M8l4n5HVQV/IGHwqs2UwwbjyRJDci1CArCt3stBrqR8mM8onhdI96LmVzn0OxcYgLMzs47HUh
M+GEx1JenJVyZswy6I1oCprtrIZ5wilSosdYZ5OyKe/boF7Aix2WsmrfSz3JTFcryEt6K8uqT+Ay
U6pCTGZiFN1dZ0vXcT3E0zBSLjWjvvVAbJccbPaS88489QL8Higs1wSDUUnY6W0ARzJqEC3yhPi8
Q7w8zQSKTlUDmShwdR+AvVfldSIbT3qdLAlJNpVOECAQ+VKSpj0QPRxX/tpZJXJ52wDhZz0FzVSA
+oD7TnivdTiBgPdTXnko1eq0HIMbg3pApNvJDEVqSgSGeSZxs0RK3SrxA/a8mqhulBpvgX3PZRVo
J00unYzPxQcZTvkgChJGYScHIcIGE0OUK0D6ziSDJLiosFM3JFhqFBsPQx+CRSgKHoWH4yPB59ym
FmJW0lrtCkTSqZLYGUej7CSnOZon1PAKxMzzVF1SusG/jDJLKcy68yG2l5Hll7NQlGPM1u3nhijR
4PBDOWZQMbLsvrpUcWKqOabcnMpZipKu5BTLkjp2j0AfLOboQDU8xElEWUjvxmFiUilKJAPlM1Vy
lyw0d9rhJCtTV/JFgamvif+k8sJsjbOOCpQXUooy1XCpU5tKan3lKAi/RaN5XXPoyon3FeLZExo3
EsCxSoFLlLpaUfSym/GW4I2arJqvXSu/kUSBLK66a0mUzHgrZDxRRtNEPU1C4UNTTZITJfueVFIy
DbL8GG/r00iHK18PPfU5CnUNPqvz3gZEsFDPYa2UNjy7ANtZSnxdTc4caWW/qd08nMlVjtmLqAlq
UYh4FtIrwTVkvpgZSPWQtYY+H/VEu7bqZVohr2p0OHn2iupONfxbBzQldOK6WRIG2mykSAljD1Gq
tBhnFgXMIOWQBqYHnHiublLmdCl3Rn0hi7l2qWtrafgeyWDpEiXSzKrm5G/hzPetuY31LkrO32VR
WM0t/Xs5yncOFVe5i0/yYcBKiFIsSZw/NwmuQDYJ5ZtqE+sjfQvDgZ2Na71xRBIoSrs9Wrg2NjSl
PXxXq/KbJzWHXVaf0798TCgWLdC4m43UizWHrkpFlJANUUwOm0imUkCBuazr77mUJJQVOkFhtTZB
UX6jO0Um/IHeo4pSdd/Z5rpuREXZkGzSS/2WXbeYQKxGPYNqdw0DCgkbxFLYkA8rURL3Kmj+/tiu
ifvaqUrd3PT7TSgK6bkoqddFFc9zUWavdNqVE4IDH7Gs2u8va1ChaQ89L+4h6iH/i+lrapQsuowl
YZvHcRlAJujdkyzWhB6DS5uT5F26LnJguXPpuPpK6wd7akJYQPwlJpGHhohBxoLgIr5FADWgD6U9
kmRLFWIsLGwjvLFgyk/MtgNJczr0o1X/vk8zE3W3gEgrXbOhXwx6Bj1EToBe1OY811GWCgxj1sL+
WhKk4w5RaTq0xuzKtdO175KrRkWMRHZ7Hhh6OlEp7ruo/yAkUipzWjJ4b9teGmZor8a0uccKjFgy
L92Jmqr+1AwL+PGj9N3RISHhVxgsbUc6T4fs3tRY20VsAVAkJBYxkRpIw5ieyIVDP2BW3ELLF4V0
sqFkIM3VcIuY+KCas4w928hTGR1BuV7A5r9vnOAmy5lInZsuhtoDe+Arn3DcldNOQ+ao7mVvAeDJ
mJJpHUCcWjmeDrEVmWIWDc4Rjd5e+0N03nEmTusQsd/AIENAowo8QhqYbjbgeBOKonFMRSSXRlSS
dThiEiZW6GiD/MgdhKYIcWw8MVA8fjQy4wz/7qceU6VJpYe30CGxditB78wmPVI0s8C8fDzm/EeV
xUpXsqIc1HFewhhVm3lE5ee2iMP4oBqLa01l4cepdiOh1VwH9WNXxAvHDa857OVDYLF0wvl/UAXe
KYaTV5jmrjSp6ib47vYICIJGDHq3ciGqWumAnGSr03BZGu1MtayHoM/IgkrsQYosH2mxsS8UGk7m
hlDOSRHNnOc5Wopt3LgHcjlsTJoa+T5bdRFF9lWfwoWyXWkdeN6mRMfKiyjO9GGOHnbG+638LIta
ZQKw6s1RUnzIsZamZSa402UAj7Awz+TG/Jrp5tLN4341etr3UO4s9lhshVUV5Sq7R7bJtOJmUpsV
htrZwPQLlZqC2oC2x6jcmVV7gmlfMB9zvthSYtf2B0oxoQWn1pTCjZyqx6gX+9M6cEM84+ipaWOG
ui6Xw4ikdaMZSGvL0SrE+WlKIz/nnSjYFKqbTjNylDlEyEffA20sbK9c4Jgnk9K07Qy8ESc8+CGD
ZN4kmLNQKnONaVJIV37ZXcMKhFIbONOsi6mkIZPoNXYNUJhBDtf9y9pE2NuN64PGa1CGlJ1riDln
XoyfOi5p3TzJJQS3YS9MtbZe9J4Uk6ymBxKREwsylIG3qvvcSyg9cZ4zWhwh4aowEYgRPK6OWp+U
m99NWbqSoAbPrETws53ouyWY1VD/H9qhPHQ4ySeDZTxUrbUsbESmU09Zu6mW4rTY6tPejG68JEEU
ui/Vqd0gWCQlNA/dy7Z3RGCgQ2GRsonShOtciN+j7heeqAG2ygUIEz5gd55kgOh24ZVSwoXIG+nC
SiB7qVgv60530xNzoa8/QljPs3Re1MhADigVAlEXPI5OF4Hdlfi3ZPqhDafZtsE7I6uIp6y776Zq
weTp4H9DbFzIbXObtyxdv1TOYy+lB3vQjjUzILMzwENRmbuEP4T6haVohJc9+3SZHvd6ib60qa8V
u34IE0ja2HjfFL3PHtTI12OMZNwQX1F9TmYdYqKZJd8j98Dk74BHnRpxfMo6R3lVLlIZNR15qHAE
QICWWRs+OcTGfmuSL/fp05iU69FBotMrxwNVTW/JmGcI0V7nLfXfiijPitj6wC5Q63c6C2vNgJts
rKXcl99Nn5DOyvo7LSHma0MFED68RTzqAC2oGSrZG2rV92HdnOp6scahXpnRWbVAM56TUiuw0rEu
el+Z9wZafm6RXfaVs6LSCvdGoosoPEMdbErLA7ikRonRjeeIth+VfXbQBPk0NuQWRe1QIUH1LDU6
j9PRvB1Q10e+QzJafmDUeTsbhF+bkUsvyj7/zkFF/ez3OegdDKwtCSjv+ZGA4ukhy2SRikMvrC4q
jD8SUHJTlQ4M9LNN2eKfP3JQzcYLzdAhkyi2hnWgUHh4KwfiBMImZtqU7mBj07T7Jzko/Uy/5qC0
G5nUHiG0WLQz/crvrssuTGM1RKW2pu02t/FbdcurWsUhO1RpAR2VNLsKWiWmay9JLqvGRetaVrD8
Gl1crjAL8JzMrSeFrp1o2InM6Q+ET2iFuDLCxaxVGTi0aO+dpsuvsiGr5gQv/ZkDBD1NErTnnMbN
rvSqPS5l+uzqFE5q4MOn8wqQuC71LiCOpMsGEcy517rKrFKU6wQF7FUcQ/kNHW2JZ8SBNthXXtHQ
Ta+HGBu1eXAaB30ypfcVgWqT0KKzv2IiH1wXlKWOfXVIF6CcWKYKK2mFIThFLcJdUEhwVhAtjVOv
U81JnVAP6nLLmWE1z2pMR8TrPIscMacJMQ+hbjXJUVMMy8iR7jparjBHaKZOxrFl+PlabvR5ZHny
XPXadVRKhziAfGU0j7OMSppco4VHjTGZpJH/zWj1TW8SXSKJeeMV0Y2gtc3xQOgmrhdc1npFBh5L
RF0ptpym562iEXFuyUyeNI/dsE/NtVkCF9ZEfSBvIfp8kuEtfLeTJ2jN3vFFh1PHzC8zyT3R4+He
pk6iuTGS0Ln26A7VGYTm9ggaLA1XNSppRWefQM2j3cwdT4yMr7TO+1kxdGdRot2rWnkzdtGD5CKS
mvn+Oor7U7MDmbCo3SC8iXkGKOsBgqJIlzXwJTrPOSWqradqoq9QxD7K+gSbUNRMSIX9u9wbz3Ud
dk5hweLrR4kONaxlmB/kjXYR2acAxaF2L6uIMB5YNCHP8X04hHoyJiQvpTeLDZIH3zKepIo8pREJ
hDQsngk1aDga0EPiNe5sJUx4dnk1UY40i/pxLFi0rqzAbjHsYDkY0dwu0BCkhQkw1DDaaWuXJAVe
hF0u5afBB+sPIP3Os9BZ0JAOeSQaGeSgcg/QNEJqxIgQE2SBTxE5XWlefhGnac/M1g9626HKFiXy
VeojHOvq+krJUlonDJR30bMBXHAJEnQ5BQNynwby8wCU4SAyjKuydr+pKLFPrUibWpZzQkUsBmA2
TM7wRsZW1DyQ7FI/pe6AsgVGI9NcCcwFNPnLNsqyqVsbR3LQ4UZHC9hUlox1GTfBWhmyw0KPlYMi
ox5EKxW0+dtKcU+lzlt0NHAtaEun3aMMoinF62U1ABQBJs3sIr73Y2NhZzlLnWWS51bPwCbfcr9a
91aXH0SSZc/iQFFO/S7X6MeW/AtqTLBodKhbje2etAUxSuiYc3VwcKZIW+Z5m6R4YfTng0K4PNAU
ty6GEQFzVXVX1FPAa6tMXw6e68xkZEcP8iI9hJyF5rnXaGv6DcZ1ESrSUs8Q5M2K/NyUnHIxRsNa
kr1bslPtTA2Bvdn96DYIgE98XH0lGvC93kNvK8zvCiv0vlcp2vo+y/jcCsMntANB4VNHq8v/Nx1S
r0f8VtusH02s4rdnGZn9VfbBW+tf+qM3ysr2C73KXWzx4fr5cDUQtfjlMH6+p2cTsH+6RLwh92oe
8fjSaOk1dNMEcJWfX0CycZZ6r7+WFNg7oCGISnJeP7+eP/CnMfrdKPzzA158sCj7eJ3fPwGBwXs9
EFqS/y8jwXXeDYVNWxkRgfbypMQY74YC6FyFqGSZvI0IaN/GgKgKUuy70OxfmQ3vx8AWxrJ4Hxli
RHlRHng3BkwHi5dhCIGe/RyElxv72/vuzwfB+aLK+NQyCi9rQgzRz2uCiQDERoSov8TCezgTfi0U
/fkgEFaLMFwV5Z73Ty8zBZ4p2C9bxstH7eEY/Mpd/L+MAcxFFa4hNS7x+jAR4C/aYqroZBH7uRpe
9qrdVoOh8IQkXdu3BCElwRGiKOq+zoQP3RF/PhOQkTLxVGU1vMwE5tavi4JfyvDDXvaMfR0K+dfs
/c+Hwv5Cg5LjaJr1m/mgflE03QaU4vDYy0UhxNx2OydpKqcB3JQN+lpeXr/OB2IFDY8wWMXPE2Zv
58PLxrXD/kDrvQUeY6liUojXh7BJ5zjVNcKml71oD08Kbnm3+QA+ZcGmAHN5GQMRjf66P7BcFJaF
ud/zYfcwmq0SDA8XDKbW+zFgY0CnjxauvZ0ILzvWDqtBQ1WQhgYDYOt1JvwyCCKAthFPsoU4617u
jspn7I7Cp0jXP04B/YtigtZyVr4Mz56OgbbztkhiDZAMI8p+fdIPO4IAu2U6YrSXJbd/26Lycmjt
shrULwDotoGI5vawSTGIqwxWC5mGeO3rMansHkYjkCZjHEpd4zcbg83u6Jgw8vY1bHrNdneYDyJW
wLXBVt8gli2LwgR+MOjH2tOdQdk9qzS+aNjLkk+9zHkx6d+dkxwRIsJWkBfa10HYHWMxv/B4oGk6
GObz6+Mg4A9BB7myr4Mg1A93jBoNpKkgmzk6J8Xr9vduJqjgC0wSUuu9PSN2zyeZ7ZwPFu2fL4PA
Vvt+ENQvaDEryAzsK8jyCnzssDFq9MiKcwGS9W9mgkYSBTkO58d93RN2DplIqnWAZ4r4L2MgRNze
zwSWA7/WESXd00EQAe+Oe4L9RRUW3Gx8L6PwYRBAFhgDocixp4PwumPvshx0FEdUVUPS7+VwYKt9
NxMURgmOhm6xb4jXvsaN+u5nBN3uukzObP5ue0SdRRaDAfFlTxPK3QfB/AIOD25gvVZkfg2ZOCgJ
GXVBKtrTQTB23xnEGaGQKzm/q0YAxHNI2vr+Bs8v384uOwNWD0IGyJBfkbZfdwZqc8hFcEKI0uVe
4ivCdWzHM8L6wlRnMaCm8bb9vd8eHdYLutkqUdVrcL2XQ/FaNttlPnAQGMCqFiYfW4dC1Gp1h6rM
3pboXmHxXQbB+gIBkmY+8xVr+rAoiKxoFuG0fClf7etxKeyZdlsaIAy68+y0gjSMeLHtvlsanBR4
pFLLfE3k9w92U3dPrsWiEO41b9Aj4fK7QQBhoEfN5iDZ1+Pyg470H9cpySYgqWAioP3uuMTnANcg
dKRfjuY9nAm7J9fmF9NCXkmjyfD59SGbUFBgQgwMlfw9PS71l81qx+2RVAF84Xfbo/IF1FXBPHlf
azKvSOAug8CSp70Ee8TXEHrLTKC7lzEQW+ZeRgvCRHa300Gj/ARxix6C12jh10FQoEOSWzvWvu6L
wqVsxzHQqMkQMdnmb/g8jAF6+TIiRfsaJojujx0HQcjLoWQKsfU3+yKVK2QQdOLsPV0Nr5DwLluC
/YUQQMyFV+7vr6sBZhflKmp36kssta+LQojB7jgfSJgQuYC/8Vq2/zViImwEd8SXQdvXI0K4Hu44
CBo2irJB69PLmvhYmCLPgApJSWZvZ8LudVqbsBEONCWZl0n/YSaIDEP8jxKeeO3tJrn7UIC6WXDY
MPN6GYoPaSW5NWkE3Xx7GzKwpe24KISxGRAD6OOPTfBdLsUmiSK1DN1lXwfhQ8fmH+dS0NtIIpj0
gj7669PzC0uB1bOn5+Trhr3LOfkcC6AcKoKvd09PqKSQYRJPvk6OfR2D3QMmcFdQVx0l95fDYUus
oDqU8x1nvwnQ+u6xgi6IWwJh/j3FD5EF2L90iDy/9nVWvJziu6yMZyCavsq3+f/hsKRYqZJZI52y
p4Og7z4I1GU0VaVN5HU+/LpLcEKgpwYdcm+PyQ+6cn98QoC2YfOA14PxOue3zARxfLAm9nUmvLKS
d1kOkJo0FMsJiF42SR71/XkBCIPBBtzfl7hk/yDH1xvbZRCEGbuQUgeHf379OgikUjTSKBj87e0g
fAbQJLqBNPl3TTICgXfIrE35BdD5l2bCv/BHP3qPp34QPz63JmOC9twQ/NJy+7/+wVvf7scL/NRz
+9x5/O4vRavyy7VfOnPF//+vzSPet7OgqsvgoVafO2Z/+u1bB+3zJ72+//URP374uw97e663H64w
uNmUD/7w/Ivh9UZPNgkdzv8d85/HzfaO4b/v5j//4/3NPh9XL8vgn6+OiOTTrxcXIdDbz7b0cP+c
mf3jxZPNY1a+Xejg8T//A04QQlki59z5zidNXW+7cW5u52tPN/Gm5Sup3q71072z6He/PgJF1Yev
lIFh4X7CxdO63Pw1zbZalYoMaOePmD3Ff51k5dbxJ4vc+frz+K9ZVjJ53q710/hzMO98/UX5VKXb
Ls5mtvPFl/FTmr5d56cbJ1Db+dqrJrnP4sf67VJ/X150vex8+YMkfyqDTfx2qZ8u/xlL9gDNwS2X
/owVe/hUbhlzUSPfeVAOg9TbshEon7FWjzbRlj1MtFbtfNtHm6p62jYmn7FAj7Lqr/9Ovaf4advI
fMYSPd48sgG/jcNPE/EzlujxBqnpLdf+jCUqro29wJZbF8Spnb/W46f0MXsItu1egsb9CdcvH54e
3y7097gLls/uF8+497fr/HTtz1imx9nWMfmMVcql66fyadhy55+xUk82+bbZ8hnr9OSp3XyMHXES
/Ywlelpu2AK2DMpnLNGzePPwtCV2FGXDnefhGY4I24I7UYjb+eIXAaFjFTxuGRlR49r5+pebh5KU
IK23nKXaZ6zSy0361+QJKf5tH/AZS/XlA8p0Uz5u3cgEUeIThin9axY8edse4jNWrXiIBSvgIage
tn3GZyxf8RnrbFM0204r7TPWsPiEoyao/jq9D6p823N8xmIWn3K8qZ+2Xf8z1jPXrzd/TTbl/WZb
zCAw88+YT3zGNN7+CZ+zsMVTTMtmfLvdv49I/VMWtr/ZmhMKsuLu4/NPJr0pem3DDkjCZVBF2EI0
b/f508B8ylrO4s226EGURHcfGAKTZMsBL1hAu1+83iBCGW+a6u1iPw3NpyxdAbNsOYdF3WHnu796
8jfbhkYI3Ox+8X+0k9l1Rl417ARbjniBwu9+6/9sTLrrvX/lBpttG6UwrNn55v9BQnnXG79r7rcs
JNGa9L/c9TZY9ocC4kew9k3dcdvb3mPR4i8e4qdN+V//AwAA//8=</cx:binary>
              </cx:geoCache>
            </cx:geography>
          </cx:layoutPr>
        </cx:series>
      </cx:plotAreaRegion>
    </cx:plotArea>
    <cx:legend pos="t" align="ctr" overlay="0"/>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strDim>
      <cx:numDim type="colorVal">
        <cx:f>_xlchart.v5.5</cx:f>
      </cx:numDim>
    </cx:data>
  </cx:chartData>
  <cx:chart>
    <cx:plotArea>
      <cx:plotAreaRegion>
        <cx:series layoutId="regionMap" uniqueId="{0DFF4A35-E386-40FD-91E2-333BFA805BAE}">
          <cx:tx>
            <cx:txData>
              <cx:f>_xlchart.v5.4</cx:f>
              <cx:v> Quantity</cx:v>
            </cx:txData>
          </cx:tx>
          <cx:spPr>
            <a:ln>
              <a:solidFill>
                <a:srgbClr val="BF3939"/>
              </a:solidFill>
            </a:ln>
          </cx:spPr>
          <cx:dataId val="0"/>
          <cx:layoutPr>
            <cx:geography cultureLanguage="en-US" cultureRegion="IN" attribution="Powered by Bing">
              <cx:geoCache provider="{E9337A44-BEBE-4D9F-B70C-5C5E7DAFC167}">
                <cx:binary>7H1pc9u41uZfSeXz0E0AJEDcun2rLkhJlnfHTrrTX1iKrZDgAi7g/uvnyHbSFiXnpataNTWaUXdX
V0Ie8JAPcHYc/Puh+9dDsl6VH7o0UfpfD93vH8Oqyv/122/6IVynK32Syocy09n36uQhS3/Lvn+X
D+vfHstVK1XwGzaR9dtDuCqrdffxP/+G0YJ1dpE9rCqZqdt6Xfaf1rpOKv2La3svfVg9plJ5Ulel
fKjQ7x/vqlW1/rj91/j3j25Wq6r/+GGtKln1932+/v3jFin++OG3//z7tzc52/v0Z6b3XtrmABhz
V4n8npVKrna5u8wes4cPE3ncZnHni31I4KNW9SO8oIVOLG5ymyPKn37044ckU8HLZQNh88S2sG1x
RH58mqtVCpSTGXp699XjY7nWGl756f9j8q3vDB/iv//TB3jYgLWZEgHMjt8/flayWj9+eEJWf/wg
dfb0pcrezTZv+fluH3Q7WMKH+j+Erqirav3Po0v4iY0wsUzA7+nnjNFFJ7ZtUYQw2kZ3MkP70d0m
n4DuNsGRobtM83UpV8kBAMYnjGPHtggyn36wSLeWL7JPbGrbNmL06foI5vdwth/pnREmgL1Dc2R4
/zcBCfm4OgDc7MQxLQc7lDyvZzaCG+MTzLDFKOiqZz32LKzfwdF+mMcDTEB5THJkIIOyXjXrcqUP
ALNzgjjFCDP2vKoBza1VDUqZOiYHyQ7q+jXO72JqP9K7Q0zAepfoyND+b5JLdQgN7ZxQTmyK3tLQ
iJ8w+Nk2s7ahns7RfpxH9BNAHlEcG8Lp6jErD7KYCQhkEzsA4HgVM4YxJybfp5v/O5mhNwDepp8C
8DbFkQF8Xyer8hBLmJ4QYoKj9AKjCTbWFs6whDF3HAfZIxdqOkf7ER7RT0B4RHFkCN9lKksPYXY5
JxbhlDP8oo/HVjaYXQzZ1LI2a/y1Pp7O0X6ER/QTEB5RHBnCbpbU+hAIwxLd2FOgh9+wuPCJaTqE
csveRng6R/sRHtFPQHhEcXQIQ1xng7CuDoGzc2Iih3NC2BsBEXyCiOXYDEGo5PVKdrP38fUW2ntG
mYT5HrojQ95bJx+uMgj//vM2GEQ5mW2BsbXBfvPb8ZstWP8WAb955Di/i6n9mO8OMQHwXaIjQ/su
S1Yq++ehJs4JtpHlMEaeJfnYGgNdbVrcsc2x7zydo/04j+gngDyiODKEZ8kHLyvBqToIyAxzauOX
MBjnI5MbAiQg4GEa2HvDnu9ibT/au0NMAHyX6Mgw/5olh4GbMmZxyGOMcQbBziyGEB0Ftqcysh/c
LeoJuG7df2SQnq9LdYAVbJ8Q9pSYel6g+5zmjaWGCAZd/doQm8rPfmS3qCcgu3X/kSE7h4zsQVQw
PWEEQdYJoWdrayydNzFNx4Z/0MiZms7RfnRH9BPwHVEcGcKLZK0OsXghrYxNG3G8Uy0A7hN3ECP2
yI6ezMl+YLfJJ+C6TXBksJ7W6bcseaz+ebFsgd3kUGRZu8haJ6BkiQnJx+dFvS2V38PSfoh3RpiA
8g7NkQG9VP0hzCkKWWQMKxhMqh9YbgesN/lHTinErLdRnsrPfoS3qCegu3X/kSF7t1IfPLkODgHv
UzCa2VAXMrKWEYM1TBzkEPsH7q8tq3fxtB/i3SEm4LxLdGRgn0N94yHKBCDxBCUC2LJe4NxjZ1G4
BsVdYxt6KkP7Ud5+nwkIbxMcGboXq/gAIUso3YOAJGImpIeffjs1IPiEIxtRh41qQKbysx/bLeoJ
0G7df2TI3q/D1SHyiWBlQT0eNW38hoO0KeMiFoLCTMgqw28U3JjO136MR/QTUB5RHBnOFyut1wfw
kwBnCwp7HP6Momnu5I2hjgsuWw4dCejpHO1HeEQ/AeERxZEhfCd1LPusPoDHBBFIgmwH/yjJHCth
WMsUCrxsk46qP97D036Ud0aYgPMOzbEhvVKQOBar8tvqKY1cT9nTMX2/BLFOLGzCeuVviG6IbVHu
gPCGWoGn37YHBbbu+9h7A/m9w0yBfy/h0c2BhxIqsFV1CO/KObEZlGxaUH/79NtJJW921Gz+gej2
Ht19t3oPb2+hvzPGJOh3qI4M94tMf/ivCtbJ+hDelnUCBhsmzg9va8e7hsyzRaDWE4z2PcC/k7n9
yO8bZAL0+8iODPvL1SMU4//z+p3QEyjFh3g2e6kM26knME9AtUPlHwLN/zqcMp2j/ViP6CfAPKI4
OoRLeQAjnbATziwb4H0pJhivazDgbII2Kn8UDb1cTWToLXxfk0+C9zXBEaKbZwep7WQnsDph/Tov
bth4BYPJxqnFHKju3WeybWCeytnbSG+NMBHsLZojwxu26iqpk1V9CFXNwK02IQlJ34qdIajm3Shr
NlrS7+NqP9p7xpiA9x6qI0P8JqmhCcABNDQsX0IZFIO9uGQ7Frl5AiEW2ONORuUG0znaj/SIfgLK
I4ojQ/hyraBJgTxITQk/QZtsJWMvG53HQhwTqOBllJBNbe+WGfYepvbjvPteE6DeJToytO/BGoFG
Gf/8gt4UIUBiC0yylxDKzoKG1AfUAkKIZRwYn87SfqTH7zQB5zHJkaF8CXuq/nmIn6q0bSg1eSkm
2SnI3+yZw47DwSQbLeeJ/OzHd+ttJoC7df+xIbsuH6Bnijut7c07QqTshJiU05/g7jhUkBZxEIc4
yd4I2eVkvt7AeJt+CsrbFMeGM+xcWpfrAwhqiI1QBpXZxHxrXyQ6obAtkpJxPwpYV5N5egPl8QhT
cB7THBnSV6v8EBEwiGvC1lcLykie4pq7WUzIVkMS0wQHe1tWT+VnP8Jb1BPQ3br/2JBdN6uDNJQB
NUsxc4j5Et3cyVCDp4xg06vFR1UmV5M5egPdbfop+G5THBnCX8BnqQ8SwIatjQ5sXTbf2vK6MbU4
9I+i5igY8g6W9mM8HmACyGOSI0P5Of3rlvVwALsLMhUMiobMH638duwu2PkINjX0qRit5fdxtR/r
PWNMgHsP1fEh/mFertSD1A/ZD/X4ZnPJd1nZDKBkUKP9HLTeU3cClQpQmUJGHhR88785mjIN3wR8
zzDTMN9DeGSwf5LQG0zLx0NUhpIT7pg2IS8753a3zoEDBp3DoOp3hPy7mNqP+u4QExDfJToytK9h
gQeHgRoKjSzHoW/074SKfseG/lF0XCI6naP9OI/oJ4A8ojgyhG+S1cP6MN3BIMi1wfi5B9iucwUG
ONu098Q/xfzr6PZ0vvbjPKKfgPOI4shw3ihHsYa49iGCnrDvyobmFFBN8hPLrX1XGErHTGzC/rtd
A+0dXO1Hes+bTUB7D9VRIl6qVfl4mMwVbJwE9ws2Xb0ko8cuNshwDNETkAI/zMPnnq3Pn/49jP0K
+J1xJoO/Q3mEE+ASOsIfYsU/lZ4wBpnn5xW/J5MFaQ7IbFqjTNYG/MlMvY379hATId8mOkK0z7JV
UR+qlgzSlhYGz+vpN17rIOExhw17nD/H2/ag/g7m3sZ9PMhE5Mdkx4a9XJcHCbFBPwRqEtga/5zQ
2jXizBO4CNsGoO3U5jeGfTJfbyC+TT8F7G2KY8MZhOdFLfWH629S54eQ6zbEVDGFwDiEYF4A3bbk
YGMXuOdwrsIepf5O1t7A/I13nAL+G6RHNgvua2gWmh6kaTeUDDtgs4EcfxN+kAYIOXi05+s9PO3H
fWeECYDv0BwZ0mAsbZqFQnvnQ6Q/IZoGmzpgG/ZLoHUnrI5ONs2dIUc2Ki98J1v78d43yATI95Ed
G+rhSm9g/6frV6D8DJrtQ58M8tbpC/gEmmiYDmiAkcc2maM3sN6mnwLzNsWxIbw5FekQQTcoJiUY
wwEbLxXDe5Y03XQR3cl6303m6A2Et+mnILxNcWQIf62/HWAFQ+8MBBvvoUHZWysYjr2CvhkOrPLt
FTyVn/3oblFPwHbr/v8LkP01i1svvDnN7r8/vu2edOfTeWzvynbCGXSUwq7r/RbXZts1gv78gPtz
pOXHs59jaXA+zc+T9Z7D5/t42o/qa9qtd3x+xV9/lMOcRPf2KXU/z/rzVtVq9nSS4b6zE/defXp9
OHRxdPGlmn7PB/tZ7rV8/P0jFIeRzR66V8huBtqqxQer5Dmq9QOdbcI1KPTfP8KZg1CoAAYVpZSB
g2VRGLNd/7wEXVMQtsEgg017G09bQc/w8PePsI+PQXc6qCne9PyF7pJApbP65RIyGfRSgZJxOOgQ
CiR+HjB5kyV9kKmfn+3lzx9Und5kUlUajkj8+CF/vmvDrW1C2TK01nKggRrkWBmk2OH6w+rTpqUS
fIX/peu2LlLat9dmdlMG1qyPmPfqo+x5AnD66gmbGAHsZ4GOEWBRQptjaCCy/QTaspjUrK6vtRWd
SfbFMK+5fautU+TftM2VRrNfPw96y/wPT9xw9OqdcOeUckBJfR3ltSGcPqi46HWGU5EFmb5ty8w5
ayo7v6Kx7QtN5zTqi1nhd749q9KKzaJA0b86iH0tKQkb0Re55SGdEUGc8MLOki/KwbGbl+ZjY8Tf
eWf8qQZAAGFLsMyKRBTAWY6qT2xBcOjMysRIRRrI4NSK6UL3iZzDCUlkHuQyW/h9p1zZyUiwsiZC
DWYpfCzvjNZx81p+cprmnNskE0w2F0bhA0qRFKnv5KJoK8/qiehpe+v7SSt8g5xmGbppQiLg2LWl
Mmsp4ig4zzgSNTE+lwYKRKP+agZy07HwtGGDnqFKL2RlLazcOQul3YmQZu3cyEu98MP+MqvZcMcq
k5eitHut7rIipKe0yN0IqeK0oKFR3Q65BX9Rp2WXXSeBdVGZiF2pdLBPLV0NXlqT4ltsOheUtpeG
lV7kTC67uL0suX9lmPFVP9A/UMKpKAyDCzjxYF5i+WDZ5mNiZPasta3LLrfOfEy8Js4vKr+d1XW/
7Im8MYfCVX7hya6/aPvuonbKzKuG1HQDuz3XjflHUeOZZWWBSNXw2U66QPhpH1/JWt2ouFrUTnsV
D/GZmcVMdDk1RVyVrSg6RwndxKaw+mSmI/a5qPpSRIYZzHGa18u6bqtF4mN968iiv0j6zJ5rB58n
6SM32msrdD7pukQChUklwrCcozw98xN5Uyvjrm3UPDQAlqxLZo7kgqXVIwvrQSAa3eKgnfE6rUXY
IQ8al3pW1N9WdRYKnTcuba1FWzZz0/K9ijoiRaaXZdndoKyb1C8Kt+10I6okbj51ffiJ+mhZtrXn
5M6fVqzcjtnlfW4axI1k+V2RBmYTX5BWiWHwE2GZloviZm22wbmqqVdYKHJBgi1xGlGXEDmjRiuQ
H9yEsrm07Oi0sNNFZ9qzhCm37vxzrbPT0m6EHirP1sYV6DgPt8YSBMVt7wSV8KWpBbH8ecHJF6vU
LoYV4haxaoWyk/40bu1kWSZqnsugFqQ3zmI93Ou8DUWfVFeyzO6ixvSiqIFp7UfcrR284nW0iphz
mRVJJLqojd1Wl73wdZu6tt84p09i5kUZvci1Z0n6kOV9KYPw5bTen3/8z32Wwr9Px6z+/Zebw37/
/tNinW2Uth7ftHnOz7v+Pqp1o2R+nts6Ul3bh+++5+K7lB4CFQAnAz+bMztK78dpl7s6b0P3Q+ch
aCwDPocJPd1AsRALJPQPnYcoZBDBuoEQMjSVAQvnb51H4GAicFNhNwUQMjii6G+dB22HELRYhh6f
xIHtzXAy0Q8Ot5ACfb9HI6HNVslXOsne7Ka1oP0F6HjodASRkI0GeaUhWFiUqjOK/rIjeY7mCEQT
u8wZyf3v5jAo23TLyqyyXBBpsuE0o3EMy8OHWTWj1Io/+ThsPUf57WmJGtYL2DLwEJhauxn3VyWK
72I/Tm/6OA5FMVA8JzbIXdhAoi8zSr+HuRN5cQr6CCkt52FdkxnTspxVoCxFkyL7Yqh1ujRUUhUC
xbHq3Y7q0I1AsVzlJiKikfwiolV8zimcFg0ro5+XNs9FVcSpSFIzd1OOSkETxK+spj+LbXnhZJV/
nsoknscGj0XACXYEhAUSkcZ2P+84Cz1SddgtSBeDCGC5V3SgqwqnVp5pGV8Tiq5z2qkzkFP3iIam
56dW5ilJczfgvXFVRvShVUkqioyhRWZH34co+ou1UqfCalC6bH3mX+QgzD6XaeV7RRleBppkyzqM
1lUw4K+4DM3bIamyeUOTwmM6wVL0WVgAu4qfN4aPZrQ1jTMr78wLG2yehQyxLYKyphclY7dOEkR3
KUqWbdjfG7mtRGYpa2E62S2jaSS4Xyp3Y6Z5YdZlyyFmCCRei0TXx8YFCutUsL4M7a9NHixz3yTx
eeX3qFoEqdGHiRjKkpbXIWDX4DiWlz2ShS2MAORh4UYwEncdblTXucMLQ2DMDHuZVz2+N3CdyCVu
4uGsbBS/lk2fFyIbHNBLHD6Cf839LHBDGfPvDeLxBc64h4J0uLOaEnXPRtn/l14mmPFvS6+ng5l3
RdeG6IfogqQm7LzddL0yN1EVClGxH6JrY8mDT8aguIERCqvjp+ja9EAEBx12eEL1GvTWeC26NgXp
oB45tm0C+31B1rxDdIGFPxJdNmwahvYdDnDHIGa/4e+16GryTtsqCMm17izTHbpm2fZW4aGIEFHS
Yp4RXIuy6v9geCCeDqyHkjgXFe9jzzb9dB51vrWoyvC8ajNTKFNdGhGYnM6Q1x6YDVddSbVn8RLO
JM/qbz1XX0MZzPo0+RRb0UL11Rkm+FOR52DmFn0teI61KBG+UCBFRGCwzzrmmZvwtDodWv/zkEV/
2EHIRJYNnUu79NoOyDVq6YwX2RlLimVsD2Q5NH7p1jF23CbsFkE8zLCTf7fy8FPdBvaZCvwFKOlv
juwF18OXTqeZiHGKwcKOY0GtVHkgvV2zy2qX5eGXFtV/xV1juWEcnuI6UyLXrBRpSEpRNRWY3Dm5
itPiLIktItqy/F40IUgBI6vcIXGuZVrmbhsU15Hd5GddWsXzWvqBx9IsFnFYBi43A/9K08z0Ql4P
YLlaw3cH1vdVY7GHQcLHzf00vMV+b4pQl+sQTOjLKEuWNjcwmPh5vwiVdq617NIZYy2gVoeWKIMq
cOO0a8GLUKFoIkQXsgGblZYNWNMdC27NgKDFkEeBKAIJ0luRQJC2zYRMSTAz+yQ6JQTMSkNKvIjC
ZHDJYIGO6myYAll2mvo+8lDXm4vEAv1jmbk/t1qSzEAo40WVkXSmSHQB1v35UEXXsULLqg8GT6bO
d3+IqIhYas0MLYnX1300Qz7rF3EdJDMzCh34EKifsbLgiyqigYi6sl5wDBZpGpS5Z0okP6mWOYs6
t8MZ1ApGp6bp+17TJERoQoxbUFqWSAd406KjVEhq0rkTGJUb9a0D2iDIZ0ZaIxGDAD6ztW4XAQ7v
e6xv6tpUs9BwepFVOXSd11rIkNrgwXHrLOeaiAD1oFCGzSeSWP3Vajv6rEKJhA65Ou1r5QvcBZlI
fIWubScMRJgPvpDw3QUpjfrUaZkUYWuBQc1q+RinkgkzYv6sAQ1xalbRvLaTme8rLtqU5iLlqgRb
l6TCsaJaGFHreGWeJi5tIno7oO426upPtE3jmcYRkm6Ck6sY9v6d2nHxvVLDtwo14bzKUS0SnpSX
EnXEJR31krKgS3Dd/QtqsGbh+Mr6hI36i+RZZXhmBab4IsQdQkLW+QOY1DM2GLHwwygR2gmLhSH7
e2S0aN6FAXXNhp+pFNNZ2/ZI8KZewumFvcjZMLhVEsykUsaZYZmnkpDPjY4qVwfhfVpEZyxSNy3T
rmGwS23/5TN8Xme0+bOPk3VLq4vOMgyhShR5Tlu3F7Vm6pTzKhKylGCHxOYFhqeFeXjeNNb3Inaw
i4bk0mxNJBrOvgyOsoSMBkdUOn3UTG8cuHSZgU8ElUoXtS1TNwsb4qnUyRaxRI3omtD2uj7rwFJi
TJRwu9I4d5km9rzvAUJUpNe1Edwlnf+XmdVfcwvEg2Pmjcfi8ly2aNXFlM50TAK30VkwRzVaIElE
EVvlrIk0FmxAYGzp5lI77R81hEA8Zlg3vGOOyFKmlo5tw52VGYk6Tho3r7LzOjJPE6dRbgPeT2Rm
xbXkVS+iJDKF0XGv6uCYE5/Gwm6k54eYfo39OrVnmeouFa4eMostVW3/mfipvZQpElE5fOtQU4o6
607hpZN5iM0aXMLBSyi7CiOQMjwDS6Rs3ZgbmWgydGoU9LRvCy/CEHYwZHsLAaSLBGvi+jL5Vjn8
lClyhYJ8YVjFImhDDzB1uwTBn+1V6Ejpall/15LdJBCEmDVZv6xSK5zVLHENK771U98AXVC7CenP
wyq5TbnhIRneJ3EwC6k6ZXWivDqV94ms3BrTUihfM5H2w6nvoAuZgI2mO6E5dgk2136tegF6zOgX
4GFr50amceIGVH0yZVk+B5D+H7ONXls5NiyDX5lFr4PCzwHlp+DgE9UPuwhcOrRpF2jCqYL2c0Dy
p10E3t5myyW0KXK2XToLLCZw9eB4900kGw4sBJPpRxgTQyMyGBAsGQeSk3A40nvsoo2zueXR2Rza
S0P/cAr7twmUrG08vlceXTWQLC/qurtSLeGzpvXDXGQkYrEbs7a5pYbdn0Vdo+KZacbV1yqzms+x
pbsC5pgq/nj19fY5mFAJOeYGamChnT34dNamtmabG0v1eczDurnChUJXYM2AWqlZRkO3a6qMi6a1
6q+syQ0JosmpCreIyhik2qCZBf4DU4+8qsxrGCOsPZwk6PNgGw5a9NT216g3UDf/Ncd4O2YK0Vnw
qiFMC8FgMFYh8myOOJYsBGz76op0dhB4tBuSzw2cPEjmFYPAlmj6DuS3ZL4jBkY3OjQ2ySJtyh55
ZZNVj2GnNXIluFyermQG8ac0NBsIatqw5IMsCm/imp+lmofag0QX/6LD4jxOWrubSW3QS1mGTbr4
9VvtwgCbDUwGQFCYG+TppV9NCtYbQWvkib5Slc+/ZIGDsLBiDFMjV3V303Ylv8t9lPz568fuRBfQ
xkZnBI7ghRQCJhu2Xj3WNrvAynWgrpQzoCsUh/WV0qUrHT/88usnwfLZmmfQdYJxKLKHzALUbzFn
NM9yZfUDONHZlZOb1qposzJZ+JXTYxHn4cws6o3tZ/ZO5kbEbtP/adJsJsXr5AG8Jd6cvWIR8ENA
OoweD70UZBioVF6xIrZXaVTbqzjZ8GAPqZ7RMstEbwL0ixbUBAbNmbF1lXC9bHlvXXSUlKZL2iiL
3Yip9DMpc4jvhk7fr3OjAVPRGFLm2jyzylOb0KEWv/56mwO6xvyzjdiAQBSGA1WtUaLApLWtbNs3
LlHtpytZVmBZICOuwNwgfa+Csxbc8W+Bw/OLbijCOc2sTroYQj7fKzCLMrcPA+ZaWdSsZUnYY2Pn
ITv7NZOWvQMyWIcwiTbtg6C2GhID29OJlo40y7AilxHE2H3ueBUPh0VXdYTPq6au3bIrzNsm7W2I
F4chc0ukFhqXOZj3OXbjpEg/5YmddoIlbfBHG6XZstdVJXK7yD9THTueXyjfrbMIMguyIhFkEiKt
rtrc0NeFMZBZECAOlsLgq9TFTZie2rRKPuEouAl6RTqR1Ky4qvzivsKpQTzaYPiQsscgG6x6GITZ
OtFFEtrOV9+srbOQgo4fgq7hbmuGFlhvSS+XhlP2qWh7Z/BQaxveEHUPuS6qu9o0WAjWdMXmvi7q
peVjfF+EqI0XPjOQFEMY+9+g5qlshFSF8VedstTLc42XYEjnS1Tw5FE2OVjjOUnjO8n9DuJshRWc
lX5Zuz18hwWyML8u2rSbWW1ZzBECq2qWwNHKYP61gVO4DQ79WapJ6dU5vw59IzA9hLLqFFQNbl1l
gmPkVCz5s0vN8ByXPL+zSWUvah4ZeK5pOqwcmpUzbXbRMG9iJ5gbXWeusE7a7zrIc9sdcAW2mwpw
E8y7KspgcbTtrA+a2pmXmR96SUXSUwW3ChDnkOagTdowEekoMlzmQ/CQZXY3CKtKfJdUhkoXJY1n
gVX35m1LkOVJXZqJiGAmVXNStVwvOsK6CxoPQ+Lf1m1RpanoZdKr8jEE+xMPX3VrdCwNBS9BlGcP
uE+jCpzouqrr3Lyq4iqNuzMui2HR8Lryl2kpZS4inGR3JjPIMuoJqd0aMPDBDzN5B3CljuMp3wd9
CFmKtpjRuA0g5ppUyL8OC5Oy7DTuGdidfZfw6oLqisCMav0M6datQRfOqRFG/nUDS4cGbgGpDZhw
JNbpXCWy5CIpQHn5s66R1DV8SMSDD+ibyoKTusF1cMFjb/15m7AknWkfrII5xFTSwXUGGySmwrFV
u2lYGolodB/oGy2NNJ1lgXS+G3XDpOmZGYbQo+XUzpVt+IF/pgirmB25qtPF0J9qaLNbhrMcIh/p
zNfNUMx5qZWc9wlN+1OIFae5a2PIBbqss/tkUcpCGi7Aiv8w8nRAHmyZjVMP/jONa3APDA2fXKk/
ojTl6ZKUvEpmcVjRT0NdQbosMjKMzsM2BOdKsBCH1cIvm1zdgTImZxHEViGAASk9NcvAmRtmDuoG
CFVGfd5epk4PU9uApVJ6PkL1WUlsO/ECnwTg5KoG4JRMg32ihogM6yQmnHoOMJB6pE/DYolMaZ0G
ksXUhWhMQTyZSd8bah8iQkZb5vwm8tvIcoksokGkeTQY56afWJAR8wMb2OUsn6E+HLIluOJtMIu5
FbZic59AXHJIKxUBKdyulcYgqk4af5Vw2FhvCAnrCF+hQclBCqexDHLfJy2ur2jOewhN86K6tGsF
KinQLAYCnhL4Wr4MkfoKOWIVnhUQ2+rmurUHeY6qoLq3Imyv7A58GOEgmLzzWnWMzDQdJDBfoyj1
ElLE2nVafwbRjOJr0rZgWURB1Nxpm7bf8jIkkFttA3/mxLaJhXJ8GMdOsqibq7JBV0OXE+tWVza6
R5UBd7TU0I5boZ51swYybfK07DBul4oFGl9Lg/Evyiw2kzOKCr1giQ71TddbleOaRQvYhK0CxjIN
QvccNBj/QhwTZncKUrL0IOUCwe5Kcx/fRGUdx5+wo7i17KyorS+rrtoYn2Hf3dixQbtZ1qbwaAjY
DeBJ47QaFmbMNi+/Yb0F+QR85Sm6smwFb1FD/s8XYZzFg8vjBpZOngSxvFUlgyVf1mAVBHANZCqu
VHhdIKsvlSB5aALcbdnVl6kR5hCpMeuim3fQnonM+qbAG6EBi8mFNwIB0nG0sZMrlX6BLDA/cxop
IX0RQpTE7fqArlpFgI2ujPpPkMUw9XkAZm50nuUqju4c0BYLrUx0VfCg+AobF2khQiuU+CxzAl6f
+2EWNF5fsqIFA7cnixzDZ3VNVvQPcRLbN12tzey0MPsm/qOlaaAhjGak3/uBb2SILJLQAz/AITOJ
+1DPc5ryP4xNwDVt86CA5A+Iub5sw08yq/Q5T+MIonG4xAGIPTjtXTQh5l/KyGiCWYIVLJPB8Alf
WipDxToFgdyfwVGVsDbajcSeRbYBX7RrhmYGSqYtzlEJbrTr86RqQNOSxgTTu4j+KnnD740ezPSz
gVcleqy06jXEBxBrlrLFMFSXonBwrTagkPEAWFrXiDmdD1nTVJddzxJItupCOEyfWmkHQcihpQBO
bCI9LPIkzrJLRTvrwqhMK5uFhUqb86Bv89B1bJ2G92CJ6EeTKxAjIDohDhiHutWCt41TgBboi7sk
KJD8E2UDcRoxgAXWf84rYnAYTPvlLGRGHJwZft5+CwPTaNyEaRovJTfRbacNf1iUdaHlTA41TFKJ
qwiqG+Lkf7P3ZT1y22i7f+X8AQXUTt0cYLTV1lW92b3dCG27TYmiRImUREm//jxqjzO2M5lBgO/m
w0mCAEE65epSie/ybFr9CwA4IeK+m0hw9uzSm5MF043OTNnhWzO0rVis1rBB7dBaZEDWZpVOwqFq
t9Ied3/tzSxMF2C4Oik6HfSPxl/sD7xUuNfQ6aIH3OuNvmmj1kaBdbqI57QpAxPP47NDR0M3mHIK
P/pO25vU+Gzwzl4BCOiuL3Sk0NxxR2dd5eLbxOIA/ULlDrW8ClVXujfOTERwKGYZ4XPNs8XOtbI6
kza6QM3ANDYOZwEsCGtkVLNcl7QuUzMTclh6D+d+AVlRxV5Rhuf3qfR/GiM5V5+V1PLr8Cv9/SP7
/X//93HkBKzLn7NM6Zv4PxfouN5+xGC+Kcq2F35HVBDy6oPmBhmO1JN3TvtfTBNijiJIejG+gJz+
kSTfEBVCoKp6f4Y4eRc//RNR8WwouQkWQpBWLkTfjvNXEJVfdyOEGm6aUw/YDcRpyOH5eesYipFr
sbbOTQtgkdTVVcjqxJ2W7Icrc/NtWfxRfwan0U9LGD4JdMuASfBw7AjLMgbqn98IY3QNnL02N76P
Qz2ganuZv47HpsJtLR1WY4QIgR4O8jpaxqu+7j6GDqb2Tg9zYjCMZjUY99ME/jt1ZYSNchmq2PI7
tDSjnozuQIbTUsXlRhCVWtx3eMPE6cSNJFUb22GL4987fUpRfBMX3AbIB3rqmzmJQI0lLepcGvkB
SJW6zYtgygE/Dem4Rnaq6xkIufdoQT8QeSOkS7b7VHpCJtPs32Otu7Oa+WJZ/mWogIYQA8AVIMwB
ZfliioZloOk/FoyKmLBpSp2yKuNxGm5R3XNgRI8RVW8OC19YszyrtenjegzbFNvSja+KU4DKlYeh
vw9Aa+90qfANKfVRBmxfUY8loixPICQ/taas8wmqACwMCxgGOXepNW4shyfb3B7WF7tppmT1+LVH
VU435ZrVuWkf1C9jaH9Ump3lDDmStJe7sB93eFznHu3CApWGkdt4bhWjjoFsc/x7a+lE0gw9TcLo
JRqajLhzOvag8PXo1TFuiJQGbojvj+/qcPxKF13FJPDP1jT6B9KCyetlkNjhcnEM+v6ivdiUdpXX
trhBm+W565rd2nhnxgoWD7a3iyZc29JAbWEF/pR2ffTSok+B87yT7bqk7qofqsBeE4aSG7uDuNdm
PNh+PaXKJZ8JVJUxM8uDqCofC9F67cxtAEaIT+gO6ostnC+OEVilZ3svRXSAadZOamN2oDxvG+zP
M7C9q9Bd2yQQ7eeVd09lCL1GE8gPwVTz1OvDem9GdweeL3HcIgejgeKPW6yMZ8+U6Dxl/9pyyVS+
UmtYEj+YVWyTua6gP3QUxg0MEJBhhCa3qdnoCzUfhfB17Cx2QjaJl+d+MSQ6VL6dT6tUMyC6bnqo
fXcjWYxN1tivfD8dZ7tKa+4c3A4aTPCVAwG/S/vXIqju7Np6QzpiHfeRvpW4G0GrTR9mpgcMYCaV
prYPVuODIDTTFVVCphY4Nr+CrGzSUwXKiJnngIc6m1l3ZhUpEt3Ne1ps05a+6nidToPeGzM8AUyA
TiviycQJhlJ5rgMcWbetb4Tjn4RlHVYBPrRkZZmt8wLmeqq+BAYQATfcRX+177D+7GY5vNUrM8kM
rWcbdE9GZc2H8FB6CnOwtV+C8HXm5GX1lzoJBWafRbwI734yGnTfeOygvxAWdH2tSpycbGyuB7ke
QA/jevvJgRLRLkGtrt20c0M+5ASCnJhN3kvr2dhFpEkLS6nYM91utNvrRZpnJTnG2cV7AIhLz52F
dfsDQKKEUU8VewhRbfHfyujPUNxWRdEuvICgDkF3hWfV/1xFtdbQ0y3BcmOWJIy9XXGc7+X5wIfY
em0fu6w+gNyJixNUm2PKd+7hP5dxtLEfkLR/vn2ExHIE1zvb8+F+fntVjP5kBeN6M4WvXXGIyBBH
84slm/8C2f2794FI+V3/DLqB/AKtRgN6VoWp98auroA4x0K8RexgRv1f3ufn7vft8+B6ogfaIDBA
Uvz8efre6/zRLslN4J9UcN1Bf1t6j//5mnn/7jv78cP88iZjSYh26u2i5fqhTOps2pMvFDrNWJ4b
3GPxncogWcid/ccLTUV8mc5V/qCzIrvlRxPvVaquhhT/Yypz/JM9/Offz/kZPv92EeD9h9gFj4yJ
QPr8fBEEkDu7XYh9A13HpbglGTnbj+wIsMtKxnSJj8/2bk4ufW72vp80pzJ2b0F45yYWyfuv8j89
bv7vGyQ37fqfD5KbwyB++x5Z8sdpcnv192nynZ/DHQtOxoec0MfJ+c7PbblayErEecGdvK3Pv+uW
XB8/iZClCVURco3DrWx85+fc3yiIIIrxAQ+ECuFD+CvTJED1nyoE5lUbZIiPJ1vA7oCx9dd5Mpp9
q8NwVF4sIDapPzVDRtfFPWAi6V8mBSApHvoBhTRYrDBMwJn5DQa4XvOPC695Fq3BRC6tcry07Ts2
kzgIyXQ7GyqX1xEjtCpTNvfr6MSzmLgDebwL4nFOQRyg+0Dn168H8E5opbuhs0R5T4fBQNI+FDxu
rZAE8cpW/qGRYvroDYw7iajJcl/aFHOow3mZd53IVsBnaBwlllnhj+FDa0/WGC98mB66JqJz7Prd
uiReC3ApsXTfJrXb0Ru3nrpnF2KJZwymkPEAzABgOYniOiQ2o7GgvDqvGlLLpCnWhiW0Cookks6h
ZaRJGpePZ6DgzSUM2ukOKo0yA4zjeEkFfG4/WoWfjKKnL07bzEBhhkiu8QRNJDB/WvkhpPoivLNs
KtdkHZpqL1S4fm4cYPUl8yDqTxbS+8rJx8jnXRF77ljLA53cYecrfCEa6npreh4qZdtZPRVT5nF7
LNuMR2WxBtnqAIjo4sW46xrtIxBtdrZ0iu1CMqy3Wk38xY1afRuFOsw5dKRAaLUH9YjpLpEL+eqN
tHA1b1qLTSRjQFqahBVy7A+lA27mmlYOf66Fdj7M0YgZIw7GmsemJZXYE7cdwtiiXcEPva34fGzC
yjNvgaHsDStHuANAWuSiKmUfV5EDDb0FXUtjqTCtaaWfStfuFHgOK0qCdfjWSP6uXAQt888rVwKB
0rt/HabmP9at7bXf6xb0lv72gFEoHW34WDcO8Xvdgt7Sg/NxWw6BU7yLKr/boyhE5JBnRhBxh5Ae
bP35e92CcwpScWwgwfZMja2k/QW9JejMX+oWpJvgVZHvD/obf2969R/J3KgJ1wjLxHQtpgoMUKJ6
SY5itr1jC2kjT3jQoEAxqIFm64q2IDC530yx4VAYtxaJ7YFjfh5ONZ3vJzJfLYXN464MohjgEFC+
agV5MjyYZrmEjXvwqyB2RSHjnurrbp6PQTcGydz0h2qFw6fBtG0KFsVFGM075bpfXRgq4HTo25hU
9ZIASXIyVVt9vFIvHzmniSdAKkW6fF6CAje/8JYMmqMmJar74AXjGHuj5SSg6RO3W0mymCH2WD8l
qi0eBXbcwQmWRGmd+pX5hIMX86JvUkAbn3seVskUVE8BgFrU4+DgzhSoLSRxoCOeAubtaNitSWHc
vKTKil3d7J1g8tNJ0r2emyZdoG4Gij9/WmTxqRlm+NCwKfqQaFQkqpLGq3d1PR8gxMOiOhuMPBNE
TJR1XxjxIPGy26cOQvMYPi03LcbhLSic9aLr5bXq/OIEbRj4UB9ybUjcMqul9p0DHWjqgU1Lqg13
lXqOdsbUJ9vvp2caoRVBS6WGfBvYVy+sMq8IZS4WlyQC5FpGy5JAjb7KeHRafV4InSHmn7A2y6pL
C2EtyYC7OVa6LjOrAuO3kKrIWqKrU0Wk2NHIDPeOP60PZp3KVBKg5LUW5LwETZivpq6fpZoceOXC
4An7dXOnld3flIFTHait5qs+KmCDWoQ8AsVW0BR6Hr8qTNttJA4MUGoVTgwDVPFpppVFgTpa/aF1
yG0NH1hWlqb7SBZc+F0B6cqLxSP21aNiBBbhgIgYljGrKU2WxsHKDgtdPK0D7hsFekQ752FZcdVN
1ht2pdv+GUxWlFj9eFFla/ZFMcw5+vIMu5mM8tAvp9ibu4s3OEPew5PFQzVkvR2dwP6xuBYVyBEX
QuVgitp09Wo7lTatILNdSC5Ht+wyeOFCtwVBWwX1WUaUniA1nR4icIiHAKEpcQmYfWfRdk20pb7O
TmHtQTGlM12qb1z8/+/FfItj/U/F/B8CDqYvf6jj3172Qx0HVhj8E8p0Q5T4H+q4G0LqRVxo9VzM
f/+aP5E9Q+DpgfYCKCekZfjRv+o4QkhcGNvxNEM8gPivoZmgL/5Yx9ES0F9CUKiYeX+p43RmfTTS
EqbQauiOVETeGR6gE21Fn/ijeghQjHo+1PtWhmJ9K6XurdtxWcBZr1UCulTcRmXXxkMNJx7zjhIK
9LwXwK7sdYHOqbatXSUmL4ZmPWf1VB5ApsOD2BVeDLqDlUk09W3ehJ0Y7xfWPUflIoFXheA/wWjy
BDp67zjN1nr0u3ZGp1m2G3gUdbpst/SAexsemBUSK9zuiy1x49t1tCEuGD23Y+FsB4R+Oyr33fvZ
odsx6rYDNSkL8tTtkMntuInt4DlBBPoDZ7F+P5TMTvztmPo4r3Q7uNN2hCexzrG1HWu9HXBl9MXe
jvyAs69QAxbUgpIsqYPaQDx2MluxGLayUYHaiTkqCdbzMWu34sIKa4A0fGBfCyODl2XlE0yAfg/Q
E2KfhJba3kdqvCtr955y0o6H7t1eWm1OU6g0knbznvbvNtRg2Cyp5ViEU+yGMDW4tpl47Bf+V2hm
zaFa5Lgb27pO16a9Wbi+BF53bEV56YlzooOVS22OVhOkcgV1sjVQviZ+1X0xrXNXDdHz3zss2Vzy
m6zqzyfBq9f67Y8T4Paa3ysHEmi2nH/PhrwU2+mPE6D7G/Bpx/bBDRAUAvzo+wSIlDrI9QhSEvDD
nysHRVwZnoALcRxEf+BK/tIECE3qHyoHlt8I/x24ExbEX7Eg2OSw2vatf11Pgp0s1vTF/TzXuCPR
keud8WAgWULA7T31UxgyxMFTvkFRsfx9XUBs1SxOczbAZjE6CUryGaaJ2INYJHYb+4r6wEENrLhx
zdqjFXH/HG4b6yxIDp4Z2Au8J9FK33zQsNBhGpYWhbc2SVDCoDubE29FbtGpBPPJxzsg8nCZzcGL
mCP4l3kZZcbmOwHyenW7nXHYXW+3Y0oCNHI4DqakbdR+gFAx0tFbWIy3lUuv154eHBreV9TaWVI/
WYx2p7aQp74EeVF61cGOzJOAVYVa5X3j+B+hjcHyS6MSCku3u7c1e0Y48MGlXcZJ8exGeHoqNq0Y
zD7GnWECHb+RHRVGMCgyMG2qbpMvRad+s9zXyjlhJrr0woExnrNz33ivEMFdD2v7FdwCBFCDTFZp
DHQ9HTa+OkwaaLF8yOPIsoKGccI4WltISRz+Mexc6GnC5bgW1hNV5e1iPFBBAz+MrAVQEOo1i5Yy
lrQFnWMXQcKN3Dumf64XtqulJRPfVWvOFggwWFd+1pj3kqWz/bS1l11gVUcBO+WugRal7TwnNQPk
AFCmP3RF6WWu+joGC9kHdRBl8AkCsfMhoAntr9asqwR99roXIyb2qgKMHvYfqKLWlRWJfe2rWwHs
H1Mp5qgJMs6hgyKStXU8E7a8LO16pMz7EvrazfgEJzRI9GdPdUefeS8zWW97an2Af/DZdAX8+0P5
FfTWkgPHjzIQMJcmhNsaE3CsPFsDGjZvM43QlmwfVsSO5dwZPy8l3PCACPNwqj9DjIGfc9WpHP1G
f5ogT72afR/WyGac2W4ApCowcS7eDp8/2DeLPcM561djlEyNWsJ4oCHg9gbVIEUiRRsheAEvrrcr
DhlPjbYBTBNZIHlkEbi9itpiSduV5X6ZyPWKwwAPOQ93tUXNbedpP56Nc3Rd7iYe9iK3x2vWqrOu
OWMuljIiIZCYNqCnd+HcsheSga6aDw2cmbHfy+pI6bzuwsk3mayqIV5Kw2IyTbkZms+UsOt+AlOG
InV2RzQJOP1uFx2yVAt+6YMO2JD9aKi/3CsIF55bGPFip4ckwIVp0y5Ul1GMzLDmuXXWQqU2eVBe
zm2HMAn4euA4obhvHNgjwhYMjW0gGm88D/QJZOKhtZxrZ4IcqnXiEULfeBSIJ3Aq/UmN1s52OwdN
Wh3aAMkREJYeLer6R5sJmsqO28iAaNWLE/Ze7LcUiQlsCmKv6oe4LUMBO5fqEPMgGkBCK/nc284T
xGVFHmn8v0YZumtXkFB1LfydbAYJ3IST3VT3Mrad7fstgiZeveLUR+UOEqhLhROVGFC3PFK3pcGn
Jpaf20yeIKPaVU0xZDISOuarOgMPoMlchrBY0xHf0CpACNb5wMslb9rmtvQrL1U8jBJJ/RNlwHxM
R3aVXz+TSe1GS9+v9TSBAFDY7cD5QH9xRtwCy5exwWoXql3Rdftg1F+ZC+Wkj7EzBeyHA1uL2DnT
ufnQaC6uonK6aXFF4ROuoqyRvopZT/Y+Hx6XoAW32Z3Ggr7NkNfFQjbHoTZzxux5hznz/u8J4duE
AFDlzyeEA6R6/2ZCwGu+Twi2j0dgQwCNLQGyeuJhtv++W9j0N0goACjDEPvNXfv7hIC46gB7A57p
hwYSUQ9g+ffdwv8NphQ8Qx0aCbph5e5fwYjs4GciB9g2HrXubr8DYnFdVMJt9/hB8O+WorPZFA6X
pg7KXEpRpbNsPLregj3dgNHqG0zqlRMBaFpPtcl8e3DsDG7dpTWJt1SuOPVbjsg1DIJIZY6hHfKV
H9tz0MPO5UPStYNSoRGwq3ui0relVfDJSSFule3LqoLRu0HITqRauCu6yTuhJhs9J7bVc/0aroOC
DHsIilCTZJ7VFGnAz6Xacd1FZ0huywOD8xeRMsb72MsuATIK4dQooeD0aggL7d5MJ4zUS+7Qqr2E
oh7vbMh2PxEo6LvDxEv2afLUnAtNmitsIjKDuKC4cMv38sni5R7THUgtatzlFtlXxUGP0pzrNjQX
m09DqoruqzRUgxB3HPUKj5lOxOBBaFYWvnMocSA/oCM3Ca6g/5muItpNpTBXsMvGhVyrnbA8946u
RGSzC8GdGMnsQfgIF5k/DNYBD6BZLooontdQtuReZ3ddDBWujd5mu5/wNQ37viArj23wFGkUlc6L
u3brTbmuvIXXeHQ+wTDknyA1Y4el5vrJRddNkf8EjUwXsXSlzXg9jvVnXNL20MOwhCmoIiLhEPSc
PYOQFz+U5WVpapayxa8ufqX1LoKpM+NrRC9rX/n7pm95Ei2NSkqXLZ+9YBZXvin0w9jIMdcRbwFz
VA4KqC3WOChRNJeo6HCj9MGtjVklRyABuk/ldukwEnnCFDadtK6PxdKsIPotio1rmb8arxR72jXs
OMvKw+/GQ+uMmk6gvNEQsMgF0rlhQK5Cv9B21zH4Hz2Du2j21QARtxMVR6Gs4GGMrEdJSufKAQh/
jV+/yK0a8gwkLnk5GB1yvawlxArU8AOr2imT1sDPnu6Wu1JRk056k0ZWI8rqtBbYxLRm6d+V9b2y
EpSiP6+s/xBd1f6b7Wt71e+1FYuU57gIeN6enAh85l+11SHIO4DZz4ecZXPvAST6vn1RPKUefxFQ
jYiLDUIU6++1lf7mOsFGG4Jb+aZd+wv4O57w9ev2RQHxw0QFSwh+T3t79uqPtZWp0HDuUnFt2f0z
q0DZraP4ZC/+QdhNG/MAsJ8asxBsIZkAn7rsKlr6i6HNpv8Cbt5UfROPzEpUODo580lOpHtvqsnJ
aIi0gIktVwRhJIGFvJfKHh4qCqOwsMVV6fcimSy1F7V+bQJ48MEzfkE4l046Cxwd8+fTTKcv9Wj3
CQVZmKI7ZMEyoWxjMs/IiHlDNf6cQgk6JOEYjaj0JEgG2S55K5cbZ4Egx2HiNM4+lkg2PLnw9aSQ
6H6RJDiCltgyWLCisEnX8M+7sV/CBtWG0Q3UZ49TscJfTzE0lyUymUSIWsgDXiUrw2TYNKyIw+Lg
siFfQlnEPUSysWPmh7Vk5yFsT13RnUp8plguWD8bx7kzFQQ6jDVZ3TrnwnY+FAhcAgY0NjFWZJj6
9ATfEGZvdCF337hQkyGJ7JH6ykpQYDGmJf7UV+x+cHj3AmX6w7J65jRsZIaLnDFhG9hPevUyM8iP
23rXdAYz6ehjwjbAw0a3cOKyoOeSOQ9uD8P+WJlrC97FrIZSInX8lWVrBOU3U9G2mo53rlV+8cGY
7KCCT2xo208yeB3mVxgAUOWDV724cjcqhB2MmmWqM418iOyyvRdEdPVbxdYvZi7vVpcAmho7GWL5
LCl9hV/9UgC1PJChJft5cOS1o4ro2msKfUTJxd4GVMuEwX5Q2OdJSaqk9KLl4vIVottKNmYH/9Cj
aU0aVk15dmf5Bk2xsyeSRT02Alqu8d917r3Obda8P69z34Js/zhDbq/6XufAM+LLsh2MZ9vEtyHN
32dI/AjZ94hv8X6nIL/Xueg34NV2BEEiDMrvWYs/1DkEWwVAhMAxuu8l8C/UOQyKv9Y5YOCQcMFM
iWRHH6Tmz3VucmDv761ouQYWpXNiiTbTCIzCyupCPXeihM9+3E++ZSHNrO2AJ433pPF3Pq2RtKZQ
FaqS+FdzC0sz5A9tPAJOBrMK1mpxde7YQ3QJJJbseeq7WwcYAVJTBuvULMzfaS6fohU5b5ZPPre9
B9qyXG+bClknAGpFanWTiF0WXq8UQQathLuAdfBWV9JgZ6WoS2PFWiBJzm3tWuIwNYjHaBCnCOOi
v7fCGUOYW+iDXY8thXet9ZG/Ut8BA3gzdX8vp+qqazZyjwTWgc/WfGSRENhLo+6ajMELZqy7qMef
UmDLQ8qmSTEYpnpuRVqYCLgzLo3riBhV5ZbU60Mzdh8j3p+qUr8g6G7Huwa/7GqcpIUR0cP4A/bV
P68d/QL/Rp0sC1wkCG85oU7KBFGKfWKNAxbLYM4jp/hcly5UjlTmhdRZaPXIYuieeAU97pYZllRl
ozJgHp/WCmYk4B6wFnR38MaKhHC3pzf6PbrA2lIMuhLvVxAzJT0MfODzUJLkDj6MnERm55DhNNpR
bqv1baW0yvxwAsjnqyRUiJXQGihVO+ou8RreJJieOqgtAMgYx3vsRnEeLZchsa/LptmBEXt5K8Ig
c5xuSJyCvcLT+nUMmUTEhd+mg7fK3CaDOFPh3BRqCeIwwOrb8e62VHArwnwB+hrwSykgyFUb1tIG
8jA5wwPn8nYkDUQ4QWdiKni++RfE+9Ta7kY7gDCHPQ6Yi+EDhxVHDSKdrGbKaIDblWrkblY1G9Jw
Wck+FG2VyQY6X8mAEVQ9XBUFv6kbRGr1OjgVhsLK0Os5HfzqFfAeS4ZJvoazqxI9W1W6eUD2BTz9
AN7qGqY7DwmZzkhiYq9dOnvMA4jK7sMC8RQrVq690zTnoZBzAn4AXPoMn1nVw2MKITyUp+Y2sMvn
NnSLuJ0bmvk6uGoCZw/ya8C4EF3PLdhwYTl+Epb2gSD5LQ46e4gxp5eAeOdrOVsHJQcFRUz9eeQj
XHvup24xN9wbgQqx5g1F6gLzTxMDZ7lMxicZmBIkf+p2wvyC+b1zv3APKiPdlXtXLJ8Mjy6z095X
reBJ46/PAvQSIBmf5dTnPO8QgRYPRfCsZY/8SEBqnNdvfJ36Pfij3TqacItZhKzZ0wKJY9W9LBl2
HwDWmdXVj62Rj9BQLXEwAWkl/AWgEgLqBol+L7FfVNI9j5I+cGWdsOweadRAEDj7WVB2xwIUPPzD
GKZ8xM3wyHoe+mUXcnklVSNihMMYEPDh0wCHK2BuN9pPXRilGlbGvbFx4/U68q6dWlIr7WHE+/J3
W/w2/oMQ+fO2+I/m9YtUf2yLm/bu97b4PuN7zncs5AfZINoidgIv8GHy/5m1BeaCxgEN3zeFzY+p
HvQ3PKnV35SG30Q74V9BVrB+/KErbmmQiFPYctcoQrN/7oqy81dkExb6mgj3Qy31vYMNvPH0bT0j
gMxMXnlkBNZw29vzZeFpU9dFXkyBSYZ5LGLSI2MvXNCMYBa9Ix6ijMoOiX/GG3AQVvt2ID0iISL8
WS1W80zwzj5ETDlbmb5XIZiZtZU0tuV8tnoikbXFEQu2TlZizX6RhkPIMzE5FqB1019gXvgAOAoE
zrS2V9zBzS4DqChYgcnTEeHO02Bc6SQNyBtES62q/VC2FHSs1XQxUfrQd35e0IEhdwiO0tBr3pA7
8ADPthVDFb+XrnVvrbUdF70+r5s9c/XZJ2Sy8Lj3R6h0pMladeD2lc3cL1P5qtxkiBhCgRFdZiZo
IyGQBKGCZKa0FXOdOqvusm7hr2bF9jMP6ss4mKM9oKhHBB9ITQBqFL2BJhPyvjaz1qtxsI+zR198
Hhwk4V4cLbB0RKF/pZhCMA+6tDdtGubZvq4DJWJGxsxGz04GN9TxwJg+hAojBpzYdw4z3m1klZ9R
2m51S2HEFK5IKru0c6eXTqzDyc7dABteV8ghE7XiaVEjr1EReuVU5WEZK8DbEH9y2t7NtcYkvo52
1ruIjqAa/H0QwdMfwMiZsX6Y7tlAoIS3o0dmSR5DsrPrCT/qOvzgReurbbF2h3DgGPGfIFTKKJVO
WccdvNxx53V7QyYnCYb+6Nr4LKvqd5Hb8KQu7JbcdN7Q3mNYwxsrjS1JXq+e+owZSYKRs25wg79G
spKxQrLbsaztJ9VPZwUvemohGyytjPs2m/ENgaJLDnMTiClNiz3s4Z9ALBEE6DkQiQNayyvMfr7D
9Kmh5Dhx/tyt0WntYXDxZbmTxgJks6B1EJCNAyvsWNYFGBCtLwNfcXymDyUrPvVlSPetC0M+t5r7
YnU36G187N3wUPcD21NfHoH4CWyHQZNT3R4C5n9EQGeJ9Gz4Y2q+3uPPNFeYSifYQ6TMBhbAL7V5
sScFU70dbV/e7C4JCYoAbIj3qCVXybRCdaZ12x61M87JDMFvXC4VQDstEL83a/nESMH2LVKTb3jg
I0rN7dO5Xeycjs0DdYDSsaGE/RUkh3ZkhS+oa7NC8BFW3LrCaR+cg66Qlyx5UKbKGQ9kpeTQ0/IQ
2oXYBfhd4j5wFxA7OKUUfA0SzdZY9u3eG/o9t4KUS6hBOQen0QnLxknzhgRWbfhqvDJMkdmJCcoG
IYR/QSzWDQf7JPX00Z75yVfjUbrLJfLU/RROY7zqZgfEto5byHvjtrYv0zx+rCTyScVS3jTeeFsz
80Dr+ayb9UkXoEVrRAXFjeQPiNM4ejPZL1p/GCgIoH5sMdtIBJJHYr6qdZ+FRMm8WSjsQGo+F8q9
RWgskFBjZ6HTHf8fe2eyHDeSdtlX6RdAGUYHsI0IxMzgPG5gIkXCMc/j0/dxZSlbWVn5m6X9y85N
LUpJSmQA7t9w77lm3xcg0Psv2wnf4si4hllyAbFyg4KPwndo38PQoSZOl5dM0nTbtecF+Mnf2tzF
ZzpT1nRm9VBK5spaVQZDxlMDU2dOn6w+cfaxLQprhzLdDGQJDcKJy38meP92hDJw++srHDLXN7LX
v7X/5RbnC3+9xVVUBBKJnzqJ35tb/V/kM3JR/+hf1arjlyEehGaQpYLZ3m8d7O/NLY4BxRdFWPsD
0oxt9W80t0gl/vMa99BokOstUHsR/exSgPw6xCsiKPbZ4JXXup5F+wqYp4yYITXWeOrdYUYhZLbn
qTfLnaUvPEhTf1MkNuyiIn9vbLOkwm/3vChO4Fug9aNRWKvElvUaYubC8TWaG9l52sqtxbLRxim/
qSP/WToLZw0i2TWb8BMIhnPj2Huv9HHea3JXz9Vz6EXICGrvamlmxj9lipg+645RnmAZsJ3j4sX5
KrLdK2Haj5GDqqmLvVufTINN0cSUD803oj4gCjvR05A71Wqk64MB4g7rdFiuROE+TyGoCMOyXvys
fBYTNP/UOI9u9qA5NCF0cGuoAI9FE0IANKC7hOPJXey7okhYnWqvZjytozraUqm4TDqrc+WWL5g9
LpYEZyydaYfTtKAPs791Ge9/MWXYIF3aKLFItgJZtrGaSSCTqOfA84o+GIaBtXqSXzfjhPoyIjNA
Qlnm6rmMGWdVtIzGDgXuNhE1N+oA/T01irVmLjdWKD7MrnpI+3k7etAPrai4mWyxnWV+iCFFoEtu
b0TvPso6jILKnl9EzNAxHp1qQ4mXrmn1yq0Vz+2mMF04tMttMxXuFkb+cTKyT6k8rl5nPgrZGJAR
zHAtSv86GVzzkoXufvKi+/piy4OgjIEqdBIzGmymLdvYHZgh1lAAuiUJOnb+UAG8FymQmbK3N1ne
xjsmxqxy8vIjdUW5STrmdmZtbDMPj79yQXbzPp4RkeV58t401qfrmJ9jqUf7qLYvio/A8CSCaTXk
QTJn9pPlpKBgZo9SLYzRxNfH3BGHzDGAjsht40XcgfBognkCq21GYt55PyaMhdN3wThot3E1fveX
dGzWjo4GUKegWGq7RRJYH22thsVN0eELdZGZyqfiud6GJeneVHUKHs9vkFIeUBWzRMFoq/SGPLo8
R/5zaQ3WWqqKp7aNOoj9aAqw26JnhAYAX5Maqcuoey0nu/MHiG9miCSBgqrwxTkcWgMqOLUWOG3e
Cxd1sEdtvLVUTYZMXt9qqk7TQS6cZkq3kBLOUrVcR1Hnqepugn9zqGg2V7IbcYwtXM02xUSkL9dl
yZuSqEoRge9NSOkoc5yXlaomBWVlRvxGR5nZlrexbVerhgrU8/LwMInyMqmki4Eq1TfL7/SylEnU
r7mdV4GbtulGm7R0U6kyd3RUcV870UYu2o4qJFneTFUXN+ckObTUynFZz+s65DEY8vDbrApqc66v
QlViF9TaZE7sC0NqiEDlkxaln2nPK2MWJc82lXrrs15QpTsaMRTZWfYAR+vLV/V9NPHcWarkLxEh
2eDDcFRTTwxRXZw1c3KuDJoFjRHSZRrg0kCOSgLXX8LNpLqLPgzLddTQcchxuBqalNmP6kYyP76X
DU+zY0dYfrNEIk/nE4dWA/NtXm5p1QWKVIRWaJSWdUXbY6ERB7vLiyUXtFea6o6QRYbbYe6STVl3
9h5FO6xkeUyBOzGDr29z2zpltFt6qD8g3ilZcw7HUN3vOHymeNWWTZPgTzCal9R3WrD4bSGSddsn
p74f0FF2g5WbFKohbu4kbhHWR9I+/9PW/2jr1f351zWBcgX+krr658pAffnPyoAoKZsdngHYkcjH
HyKI3ysDeBHMSglyp5f/bfP3c+yNPsLnazz+AAGSA7P898rA/hf8Sb4MMaQaiwNB/xuVAd/nF9sw
1Emm6sQ6IPHk+zH7/o+6oGFa3+Lhia6jLKKQP8W2/G0j8ls6xX/hS9g/WJv/D1KIHxJIpcc3AmQB
ipQf6o+1R26Uul9l8wSGE3au7P0tAoOk2br5RPzDJNjOQMTZIeJOSDapGgQAnefcc83x2HudL64Y
vcIsBEFeX/WNBgqOOBtRXwmh6dDi2n6ONnpluEvQjnpQVqNe7VMJL6yBlryb8CTumjIyg9EQxg7t
ZB1w9GDBFhX89UHcwD6MdlWa65se//8u1qLMDCI85NquyOnL74tmkV+ALoatZcQAuOlrdS3ws9k2
kQpw6euBUdk51g471617pq4pPUs91bcdaPEGNNt2QdEHYFi+WBWUsAkaBiMFShwfX/hQ7wZXnMde
GNw72qWXw5OTWg8gAO6bdDlHxfAkHHatnkD6lcb2uW5soHL1WcrkYERRejCaPsZ9KU6jkSFpyz3O
uXKnx7g09RA+XzkfG0d/rZJkXmeZK2he6usmFsneL+S5n/R3KVJIwRVcCBtxKxNl45Opc7aZfT+Y
S5GsOh/FemRb+babJmdXWOFyooI7DaG2m/IUfXwc7fLMaTawdNbRUuFQia/y0bGC0LKZwchqtyzN
IWziO7XY3SUFM/BISw/Nwm40ag0I0RPTeJnfY/85SQsEu8a29gPiU7ueGxADUKO2E8CfFQgFEoXY
tmI72eTMSKaqvhptQCJGgn0phcrF3pxCIkqce8dmsWlNdr+n42WEHvomuxGaSX3urmrBaR/5zWFI
p3lXZvonlqzvRu54uwZS3Mnycyh0kvyO26rw0OFMduwQzsFo1jW0o58mxq719I9Uk4dFaJfOcB87
qe0yGYIjnJsgTHFkWeAWc+92KIqtn5ibpAmD1tDgU4xgKTJz542duaktfvFO4e5bfXg2FprPiqsT
veMb1turUu8sgN3T0cn0m4VvOhgF5DiJAtDY9ZX2zWyNT02bDqW9nC0MC777BFq79JajC05l6yQs
X13nsV6MlcTvNWAk6zuvO9l5egaEdxOFibGG5i+QfPqvWWSiGRb+phmNs28X0Xq0r2tEoGCm1+zA
2YSzcXCl9uBN7aOdDigm02njyOjGHlh+Ix3F4znEp65MD6zbSO4YjKdKkw8UEo/0sAz2xq0bVV+s
Xo61rx1hMS7opcWxTvxdJjAWeW4LUcYAONnb3Z09Jkd+vpMDTMLqtWQ1W1m88stGbk2rQkprT+l+
0nLzFRmT+9JiB2ugl8zhI1En6d1EZbyaYGgHMCAaqNud3NQa7oREqaglrqtVbeLRGHktzkOFOqi3
F21eZYzg2nVfCfWGYZbEGeh37FHq0HtfhEdt44gnrTVFMLTiAosyZA5Ssam3/ZaHGc3rMPfZCd0P
ggXTuet0HQRKDf07Giomm0ZyAt99n1fpCFiDIeAAunZLWfkixH3CJ7+pe23ZuFNbHD0rE1dhJfll
LwhfU1G+21EC0aaeJa8cNE/bedCjKuX3OKe7aI7OCSRyQCThbdqV7/3kr5MQDHzCUDTU9PtQ8Clb
1Vvbpzirk/2QdF9uM15nzpJso5DJmzVmr8jat1K4bwr413uA1ylolTc8Ie+GmeEqcedzGzqbGTVC
khHfVpvfc9FNu6p2NkkxvA5WuGN6UyEM7t/azt5WDR9zOm7N0H0mg+cJROCzY0Cr8Kfkfsrmc+GP
+64mtEcbk+dIzqDSeEWn6WoIc6JgQswimbjruuWa5dDrJJ1LCd/Qs4fnkZ7TGJmcucuwBULJYQFD
iE8jKKDpIPGCfJaInZ04KJezOkYPHR+idpKBtAoE3o64p3zjN5gZ6MQL96Ee4mNnCXD7sQ4DSJ7q
kLWsFhc3cbx0+zKJnp25dlfgT/dObgUcN8B9piur4KfPpXv2enffAFAzOufVh28fAq6tvPQaac8e
nRaDuJB4OjP9prF9ccaYDngh/qwPv+ldeuR3vYkXNNyQo492P9+2lc4/026PMCmJ+RJvoY7+byY4
jF6DudXG85xli6ac4VUsb3R7+mLdCX9zKd50W6mjl/jKd7JdDS82L0iHS4tyP0QsqtgpzWdcwoDp
TWyM8ZvAcaA3Fl2aWXbbItcZZdr2eANTCul0E1k4FZuXQpewVHXvmg0qq9Cirk+t4bIklFO+dYT4
iJmvb2o90l7Giry0BG8+pkx87pYdZ9+nLnY3pgW1bTPO5hUIzfDrl/rsvxQhanf/xxLEt2FbCSU+
8D1DzWB+HX8YqQNfqQi1S5I8ivQp9d9tZ/e/+ytUpfWLBHXmKRZpz1+h14y83eu+up6Sm//571DL
lj//GAJWuNr7QG//499hmv2cj34cXeuIeDzEAN15mh407bdR31+WbIg0/vTX4LxFCEFslgJW/PGv
gRU+W246RNc9esU6wXoK+1WrH3v7ZhyMlWhZqzr/ODv/PV7kQfjrVgKwct9++3MHofNVPzsI1oA0
AzosOnj2AOmon3/vIEx01A7ZaA6ruR8Wzd9ni7QdBmEBRMn7Ds3CrwZ9tIN8sjhC4TP+fYO+khr+
8rjQQ7ggMjwbkh7/BJoJ9ee/PPkTdnigpaF9nS6VO1MElezaScDswmuAmBabfg0AMwgqlU3Ry/tZ
yQFSYVdMoJAI4PaJV/DJ06D3O3vTOrm+10eYXZ6SF/ToDAwlOMBI/m1REoTcAmDfoErIfsgT0Ckk
Sq+ghAuVkjAMHiRKT8kaYp8kJbSBIYIXRA+jkj9IJYSQApGHkkYYbvw8oJWIrWInlHiinDbFsOyw
aDDiUPKKFJ0FcKunEt0FsxRnFSsphqlEGb6SZ8ToNPykuRVKuNHDBWEjYN6gIkEKouQd4GeLjRnC
6Yrb+stCA4IaoVvnmht08yfzP25Npw4GJRvJ8uJqUjqSImJ3pKQldgvvu7EYUaYVB65VMrNdPJ8L
bphO1hIngYlOpffCbV8OJxxhSNTxiaJnaS2KD/QtJNoMMJ6rdN0M1mdHnEc6sgDxMbEs1rkg7mNx
wFb3ESWRdFFXEAniqWyQLKv26KSDqUweMtwxXVfcErh6koSKwLuEmurktwMfaa9yR/QpbopdB+Bk
64nqaDj5e9FK9ojEzemDf4ZhXMBBCAtBDWM2t8bE6f+WNFSZAflzUXGrLd1c7XJ4R0yoUv0FayoX
GPC2DxPnEw3TiL2u/wCjsCXllmpU2aRi/FJM1zBOKQtVPkz7bpYXuwi9gCH0vK3xW42aAC7mza+Y
CB66Zbo1BuPNwqGl49SKlWVL0AMHLi6u2JyOo7J1ZRKPGDZlmiGL2bIyfzk6SyncYABe966yh/X4
xGZlGMNPTHcTedehMpOhKWTJA+VNdoTIKMNZp6xni/tlJKUNrrh7GpQ5LVc2tQy/WqqMaw4OtgaO
6qQsbY0yt2ml/IjSelln/bxskW4DDsMLZ2rta4yIrFQmuULZ5WBHryploOuUlQ5LwGFS5jpoDzcz
brum04+iwn6X4MNzQhlBnsaa14Zs3vDqmR7qWmXeE115LBgkrSRc7F4Z/OgIv1ocfxXOv6El5Chj
65fOyYVd6KlSJkEmw6dizNyVqQyECSuzRlkKaZTHXT0BaO2U4dDEeVik3uvilgH94UHHmWgpi+Ki
CSbl0gNfj3/Rxcc4scinhniplcGxwum4TPUJOmN1Qvf1IshTIvbhXhPiIPFIaiDypC4+K3u55Hgo
0d7360Vgq6yUwRIG/t0wkEeE8zLq412jrJipMmXy9oi3Fp+mpLK9C39YN/Fwkvl1El2bBj9O9P/f
oQXcSNQnf321nb+17Wfx56tNfdXPq43hGDsznSkW2SC/pdP8frUxHFP/twd35t+7sX8Px8Csct1g
F3EItVEZ4QytfmrffYQxAAuQhPKHHnagvzMc+8Hs+uPVRp1l8rbic7Z1dbv98WobeqKlq1KM14CV
WjeQQ0iz1bv+jH0kRq1ihqduQU4VzMkwpE9Gb9BAGroXd4dqidVMVyzpuZ39cQmSyeyWIB2rAgwS
rGzhfDD7cgmwqnjzeXsbjJN4gPaTMCL/y9dzo7tn49w2W+pjkoZDxuP+JqvKkQONXbZGcSYic2E8
n46aGvIYNripPpqMIDejZgls18iRqng/nCgpUwIdrsiuGSLbecwMTYqty44gNg369QIx6r7ShnmP
XKBPvkbLm7ZRgp+H8IkEWBhmA30v00mBoL3sPeYsZwc/Gszmq3kItAz3ErcHrl8JB1TPadAHp3He
BwdL0bLk1q7TZ01i+YRK48zyS4waoNfC+8I/baNSRPTuohzcgWsEHzv0zW5yy/Eko6o9ecqqGcXM
2ElkhRfZaMU7qqUU72cHZjkn9g9BiqavehX0SsScvmcJgrsZKss3w1NGnaWMjhWJAjekScsVACF/
51XFZ+ouzs7KyO2jrbZ3bdnFgc4sHZUcCwHb6bObVO/bNQF2h7waUPXX9Rh4GpE8kWd9ylYr904D
DKtX8Xk5U7mAYSORdEJ7r1I0FGLJ+jWeXW8nCTl0x5AgRXQz5E0nQ8u0IWLE0LGKKxFgsrjXk41J
tAKS0IXFJ2XHMUWqGpNbtjHRfeFgGudb3w+d3eiXgM976azAxaeYnG1vNfagwYoF/VTuWS9ZkTKy
q8kpbNRGiHyKaAVcY1511VAD2bGSnZGJ+jaaa5IXo7G7dWOuumU2amO9oMllR2Nm24XMiKBlqYJ0
caqCyXARj+SIHsKpSPdG1khWOEm+/+fY/LFcUP3UXx+bQfZ/NmWDbvDPJ6f6wl9OTsgsKPPYIKgl
AGfgLycnWSk0idiAmEGqefvPtYL/L05GG9i1aeOW/NFK/Dw5vX9BBUTvzdZBgR7+nuAA+eJ/NgUM
+tlrcAojxIIt8x8nZx2F8AaNAd2gXT6NSjg0oCDSOESgCbTNDVE2yIvg8744NuJoxhH1qnM1FyUQ
KaWtNhTHJWIkR3JXA13Xfmaz6OJH9iBsYRjYLjZQhlwJneAwq/FOX+Jj9xF1K0FUgjKKsA5IXpMn
KX/cRx/1FCDbYisWFHEuyir6qmjfoLXq4uk5HClFhqS6b0qlwNVif2/o0UeBUmuy9JOW9xccdgh0
lJgLD6OxnR2DNBuUXtkY73h/lnWJBoyl9GvYmcdOcGhJ5RAYomwb1QSt9KNArY2WTEAH23dKXtYQ
PLL1y+lTlOLT9fxkQwgmsnpUaf5kvRRmWRwRlTO8RrlmDvJWKikb/8wPv8ivYROsPGtw1xzkZfk0
UR4Gpm7sUgMvjoPxhtCSbVSS/ReyQF2c/JM06mBSJp0yq3Y2th1GfXejSKM9qC9i7AcHXAMOw00S
ayLotenalSNDZ6xAMZYgpniM/kyjJMTTK1eFcg4lWIiyYcTd2b1h5cSyauEyYkh4vSjfkafPT4jT
R+9mamHVVN3EqZZ5duOfpVZ9Ler0CtXip016smEmBctfsmmXx8g+6jjxDxWjzVsrNR9JL0RmRoDN
3lRD7yi1XhfdXVXMDP3+oRdZdKFHqY6LnjcEF2jpvnLKYEz0O4N198rCeLAq0D2sUj1+UnoIAjd6
b2XhhdzgrKCIFhXz6xI6gKaVN1EShow6qLiF/kDIkUKEIM7sYbFngjlcwa8YhluYTM/Mir+7Vn4O
tQR9mVFzvTd4F1yt/2bnLVtv23rVzOwNojfGtMjdzb7NbF8me1NHTeGW7Wbql61mWgXyUG87F+lm
SlwEoukZwzDhWNzuhHLd57A39Kz0AvKIxEo4M5mWKYAS7L0fhtBeHJNsTTndZbI7z4P2gMjmrYPQ
C5fcZ56oneqpuehW+DgVyWkeEYbXofkU5fQ4sgkfCGU6dQm/ocqM7K1VuSRWev6lMO3X0B0fBWL+
VRahfp80v1kRwvPe2v7d2CSXSNEoQiWtdYfr0bDvrJmfJQ/j24a1DtSqNcXaMULU2ovxVGnOezR3
T4qQHhUOeb3OtYyXvQVJoNJRIabt/OL0lCpJpOUsvOhaOeYw4dWgPomVwYZCsNB6iJuXps2Plj9c
pRYWZX156gsCcEkpt9a1NR6qxlFxYSoKWMvuyMt9J3+KcM00a1bM7ncqqSIgAdMLMC+0AXjBfEvU
w36x0eMkVZ4Q/1KtpxbZo8k2Sp24nFJGGaT2cFP2OmoFTADbfphvIx3Bp0GTqPMr4Ey6tWZxlfT+
h4OXgQZNPJrCvmIRlqytnnxX0sdBz6kjrpELlj/93vSLbeZKZq0Vce0t4cw+KI99jozEyDpkQXkn
1oLnrV+ie0O3392cPj0yvStgV+EuijRtS2TAnUFRt6qj1CC4xX03SQUKjCLDMCiqYLbI78lj01Yd
8TYlQ7TplvA+qVlqwhZ9KOIB4xJjkY9KatiVBszCLWdEHD+PcrhufLlnM/a1QN0OOpRShPPqhCXX
FcmDraMxUWmX/DmPNDe6WkxKm04MZUAZf3K85sFXOsZGKRrJbnvDMw4DxR4skF7LSzigaHQRQopO
q9dL39wwGr5IpJIWkskJ6aShNJRW0RyzxQzSyM6CvnNukUxeYYDGAKIUmAlViYckU9egCDZKpYkl
RAce3j9YCDjjEHQkgs5EKTtTTLT8a5YXX4k+6/kpdwCajMkNzwO/BOShOTLRxUGb0WHSYB6EsUZp
SSe/uy8QlxqiPZIldrL16bEwsbEgQhWIUSvWZRASeauVTtXNgMDOSrvqCzaosdKzFjqaV87YzRhX
+wLJa6O0ry4i2CgR+D2ULtZRCllksmhlq+SwKPWslpL780NPq5S1RIGbBwJ8442vdLelUuCmesMw
Talyo4lkAqXT/acq+60qo0L566psS+pv8d9KMr7q95IM4zVNqUcECLPVP0AyMHKjs2CiruNXZFb7
i5HbBaPlMIo1fiSG/KjWfpZkDmw+rAOu40JFVWTpv9PMun+e07IAIWXUgWvEAoFFyB+b2RR0hT91
oXthTnWMunoorrrRnGEt5UNVkdUV9wuL6LYleS2PpqfSV1i50of9w7UgXyervSdsbN7ItkjXY9fv
QFBuQP+zdNcLE25kJlaln7yDLIt5UZ04AFxMwhA5QHg/O6IZNFaz+R1B9c9jXxrpbUdS/D0h4nt/
nDCAhOQV8yZHeqxd0hBiDn5L2qlci17nqpM3YShjcSOz2b1xCo98B5tZprUSKEbLjRPmevEgSLzb
hpxTY9BORtiBFQZz9dRzEZMmmI7PqelLi9iQch9L1BBcwc0V0WjHsXfuYDbNJC0XT/qSPfQ2WdOl
rD7gbWC+lj10VECETUdXaFjvUkVEITC5iN5EVTo99RJdgEVBqA3aRss5AiKlvLSryth4M4aJtnDt
wLDlM0I/j9V/ihbOuU+98TpJCG2dtfi76bsPeW9/sqaLgzbnl+J4NGVWyt2H8nE/8v1XJvvdt1kh
NlJ2hfpCLESt0j3yzHuoM8PclkVaoJ7rtNWUmHuJSqIYBprkMT5Ykl2ew1KSOHCXbbueFoGZ1CTZ
6fMRmtFtaPbgiCzJQMA292VKtoXppSNAjMk8zIMSsfT6d730N17f5kT7OSGqxnaXF/63SJYnGDKn
1mJCDbgM3OziY/rDseqTyDWF2nfHX7aZPh0wvl+iRrDsDptN1SxwqgrFOIVB0pUaDPJ4RJ2g5R+j
9CdQq8ULj3THKHFw4ZhQ+vN43bIZ7djelpfOSTTqxvCGrMJbJ8KOEEnjLqyw6vbcqCt9ahwWu0O7
5nljX1++9InZYHbsjh2fYNf2WxCI8W5yEGAIvS6DpaDbH+brqXaejba7+F38kKBkWMd6+5RH8k4S
XYZest8ZkXLMCrQZg2zuZjd8IDb9dql7XhEDHi14xmjlx/G8MZrwpscnOWchNJRJ+2hqTW50u0p3
s8MltRh+hhAbDGbktHB7dXtDUttyLCv3OlHgF0BM47rqC2udD1m3qu3xjDD4OyjJY9x7kA7a+Eok
FThf3T0BXzR2OiZeqAY1tnw739hGgrGwGuGVdNd+Y78MmtTXvOrDKplzsZa99ZXP/UJ2bXnXL9W6
Y3G9KDik66pQywJ4eZcOj+a4FHvN5ukMVUnXZvFnNpsLl6P74owot4hNOQxlStBNYx5oE60NJPiz
HDSkqzgb1jqAre1YJ9dxJMA+pHd5NlwiybM9ShdzWJIGce7fmFFRb0VGPzFWI2E4zTSv6kI8jAZw
ZL3Rv0LTftOt7EO3nEM9WtzzUUc/oZmfdqs9tQpelef5U464JjD9/n6eO2MXi/y1nO2To5WzgxV2
lvi0XXsSt1biVS57Gn1ez7J+t0ZYnaYDKEB5r3oHwZk2dcGS0l0Ny3tjma+151t7X1fQOt+9Wfqh
QLAmUQg3gvqc3QHDsPkD+0Z70N3uXhYdueqVnu1J5Z0ZJCITy6X1Vgn7vsvRLI3kh22NPhw3wOWT
TVJVeLpj/TIgWg4IkvkcltnfFA6VZWIOmyEs3X2aFpDdNBtPaV+zBNHp2EZ7/GCClq+NFkqEHo7O
JZ4cTEFtPZGyZMqNZdZ3Y0EBM3tI1Q1S7NK4mPicYgxL1ryJnWTezImsrnJ3PMx5+JYXE8s3zc4D
1pSIKgAKrhHrfQi3oAsLkyVwinCLQGzei6KpD2Vlb1N07RvpimzreTR+nIfLrkjqt8ZziGHUSLYP
dyUlOzAlckKdEkLPjIYPtmCOSlArWABhPrwVuL23bm0cCKE8g7xGjJ8n3o4+GVMd+ebrcJjno+z7
7ylesq2sOutoVha6eWTIjPyjYi+LYnlcxpzPZpy1rYPtYKVR3K8ish4BFA0HwgsJ/DE8Ni4O+XmZ
fwz95aTFS45JnP4mTJdbQuc2BIreexp6vaWl05M9In/q/5uqlw+FSdZRirhhi18tXvVSa9aJ1X2I
GiB5TgLZbvLIzJoNiOF4qKaVkcmbLjZvinDRN2kZD7uqWk5sTs+48DZsf24GKNaBldRM/5hRrMCq
XUgI+PDwZWRtyEDC9WlTSVfHwuhgefLmAK4zSTdLTaSVPjKTTr+VqXaTNfF9iuUODZ0ugqQxxKqx
q8+MxVSU63CCLJu1aswEuY/NYjNmqAVjuq+hjy+h3+MZMPRhM9ZNuC7D9IQUTt8nUxI91RKS3Ri+
CpqplcmrS6brV5N3r46lQUvpLtWPACZYfmCk/IA40ZQQ0OwJLzPxYjHxSqam3S56pW+0LL4yoIbj
tEtPWUMlorR2jjZwgBkGZMR27/bh2QOkhLZxPrJP9Dd1qq0Sp3jO5+YyFXAXxEyEboMaiA/0WLfG
CVv8d63yvsaJ9lEwQSGieB+2ySd5Y1soWN2uJf60rfjTsdSe9EQnG/mUI3xoehcJffrN75N3MhPX
1cCIOWncQx9jBnA6L1q3ojku7UjnhnAuzunUE0Y/08LzHIcmbbFpf1oAb1amA80zifiPOcAHuKNx
o1hisEgwp3jxjsrtjQrsEE9gjal0iMkSx8UhiKGv4mtRe6vQH58Ni29eTahswuSUMrXaWXn3AXjx
OXJDdpHI2XU3R9JfPBkWF56PtNWRBpx3z7oQZvXYjCPtaAsrRavqmyr2z7jTCW7DatJrLFndxGH2
a+e7vpzoS000ucaYr+guUMBDtNnGIa9Osahgj4aRxFDzo3lApSR1J7LRGMi7paqH5uBa8jjOyZc0
nHgbjd71DAe1XHatj++VPcRcbIzp7Gnpg8yY30NRBy7mObskGfC6uhQy1vJueeNWjNG7J+IzzAkW
o6Eu+bDqb9gxVTrqSI5npQ/NidfnIZoZq9G/PRmViwMCUH3bBN7eirK9WYLF6NKNWofcFqLJMUUW
scCDYDuG9iyHsoTMBlG+ORIzNubMvcbBG7ZlNmjz7cynU+hOrG3skMCqaHHHmAje9FjiSF1NKRpR
es7d4kc09DDANDdB35Bq4za2yw0Sy34TDuVL6BlLUHhM34c5MlggJY9WU9yPUMa2BEh91UnzbMfQ
58B28pPG3dZ3/IN07W8gqW+mmBhlkI3pWsZdvqbuatdpirbWGdHlaAxGuE5m6kKdi41ZveDzU58d
tXnvs1zyJcphaENZZW+mzr0MXXzt9+5ZRS+sijb5ZrDZAgRwhqhNdVNW79wtM4qGbJ0W3mMbx/YR
pNnnQmLzbkl0TE2Dt7eH/gbbF3xtlYpOK7Girhk3Iiy+N2O+twBIY64ply0oibNdE1uOWJTIkGHt
5OW459w9+yPJbLPDZee07b4feKMTk7/QYbWQ2hArW4OkuHYhIqZKWJ9Q7fpG+pbWwFvldYreMXHm
FcGsB6fBPel7w0Vri5oRZXedO8n3am7Q8hn43Ob4Ukb6xYFNlBXDxTavBaM6olw3TaNFx0Evn4nC
PnQyfu3c7rFCXopcTQ8IJJ2Ee08Q25q69zLX5ltcwcpm/bO18uiwzO5ySPrsjX/go1StvUstGEhE
7CdOhTc7L4fnfBlYwNTJaSKsd9MOBIyDhLsahxmfkTBeqkEnKi29HVlapZWHd67teBIQ4zrlObbk
cz4yA/2nof+toae//euGfpd9Fv9lOa3zRT/7edP4l+eAJPqNfv+jM/99xWKCX2MHjerJcUx2ML+u
WCho2RT/3LHwRz/7eVhGnglJn/8xQDegQvwbzg3w3P+5YgHWza6G7+lhK4Go9Md+Hs+Ea06951+b
YH15AUCtEEiitDSWVkgzcCQptW/MLJtbAk1Q3qDGLtYLahyR+Oem8FOui/QdnOxxpliAKgO71baZ
LFVWNind0XIoJqsO+sG/pU39v+ydR3Pkxtql/8rE7KGAN4vZlDcssujNBkGySXgkfAL49d+TlFpq
ta7uhGa22t0bLfqqxJvnPec5n6rnFgwOIfre3GqeSZsjlmin3uI43volz5dK22lJ/uY0o7VU8JEo
ldeZmWBQ7poV972dp0Pf4rq7sBq5TAIB9iWdttSgXppMQImp8wiOnXzT69NuMoaGYijjDQvzYiTj
vm+wdVe2t58b+c55eMIJlTvrkJ/tOSAqB3wFUoAjPprJX2VsPwChdBOnIVmHGXGUFsJyaQ7Gru7E
cci4lspOx9JiaQ3WMa/cE8bhp6U0ZtWK+RHF4OTPZCxliuW5yeyGKgxrEdvmNrX6aNNkFo/uJsLv
LI1XP6PusKXQsrY95kjRPxe47+l/YeoXV7Q4s9MGyLQpWuB2pV7uJfUiXAzBYxoUOq50aQ8LUfhi
yx7aWnH3BTAeBDQ2TteFwyaWDOoCv8q3qRj8hU5/Jc+ZkOUKJYhwKl/x0kEYMIzPztQOxtDvZTdd
pMiDjA0MZgPpNVSWXgKEMVJaX7idj253MWf5R6GV8om/57FzXuaComb4emTpznmdHuAG3EqS+WRk
s7RdGUZQx8Tnyp7HGAChaEG/s4hJvHVZQJIucrx93vo2J/4QbxOIOiM78To4mdh7Dl4mhi04B7Hn
91LBgdahPwCbC25DGgMCQFmKVV0L5IBBAayR7+18lSustTEJiDoe9WMXXp73j75w/R0kDv3p3+Pw
6zikvuO/HIenj+b949tfV87qo34/DyHVOOyVf0BO/n4eGr+Y7KFthhHPcCls+uM89H5xYdewvCT+
/hvD8vt56P5CwJ3uOziWNi4gQm7/4Dw0zT+7o1WWDUSxWmF7nLAu3tc/n4eWZkoa6rPsit1I1xyQ
bNhNJENha7xaMk+ui6+hr6/T+togP96bBSdJsRv3ez1MtyW3zViauNf8h1iNkRXzJKbc5qiPvMSf
wigdOccgvyPmm0vO1qsp45LuYI7ZVaaD2RFtE8XsatTyYRF45mtIMHCJOeRY6fOZinaElLB54F67
5ZSaN70PCVKX39hP31BwySew5moXjc6G/Z7A/BlQdJJ+DqIx19DGWD0ZXN0qEFs0FhdncLvoMWSY
VC3ulS/Ca1kAynXVijSic28xNv5ucPH2FBnFQCQ9bPqsuOLQL0RCNF8KUQ/rwLHTXWUV+ToAcMYd
PHTXRR0/9SBIUBoQp6IMbMZc6YSP4zJfQDjD2iPdLt5h1I+AYRC94w4AK508hZbvqGei7pR8xbY1
jPxIc0N0A6dnfHSHRvlPCnTHMXGuwHzyCDES45IupEM92uaZoxIdumWEdWuv2zYJoOBYFCzQhoIv
bab+YxjU3Y6Wr3kFFp9q3sEAhDFmICFToyEH3XfW0a8ahLwCjFfE91DWycH2NBewUNZq2cZEWhwm
LzPeDBJXq75X2II0PcWsdiCN8xwh3BXDkaeFa97o2FxteOr026rFo9VkH7kA0tJmF0LXoxXyyDYH
erb0HOcEEvPUaiYvpCJZOVV+M8Zs8M3m2dSyi1QmZIfM4s5C6lojE73b3MDMyLukMxBPcNx52RnZ
JSHjS3acQJMTp/MJCxxhF4DVWZVip7YJu2VTvO8LbqBjKEqOcdNfF3P0Po8yWYRgSVCj1CKzADHo
kO9bUofxjibfLBxbz7jjdMSq4nHdG/Dfiuk+GkGeTl3prJIB2ADkGmtBw8Vl50q0D90ROzo3qIj2
cQMn/Jcpnzc2grXHCnPJXQOEisMw4c80WlHMOKz0Ub/0HLKYGftX7GEZezK4em4y4kV2CFcmeYvR
szBf3JGQTTiJW+kRag4mGSzDsvUWNRYyLAm0TDBrkbz2Poow+sbqO2f5nC/ZUkOG0dJz75QUUECS
NfTeYzKfirWggnBRChlsfBVDM+xoVeo03qxChzXeQosE4ZokBTVxKNtO3P37/Ph6figHz9+P06fX
b0BS/vr8UB/1/fmB2ZOSZMuxDZPHhEuf6R+WJR0GMgkGn4pSk5Odf/puWaJN0ONAZ9i2fGwuP5o9
eX6oehmOCR4xFCv8o5qZn3PKX88PRU3Gc+rQ0eqrb+LHHIOmG1NrdkZ0FQbFxlMiUteq1za6Eo3l
j0B3F9XYBasZ5clTElRZRCfOgp2ONmUrkUoGDtBw2S4x2R1HgTI3B+mpBDq/MtC4SiV2dUr28tG/
sNzw0k+I10IZfDd6GtM6v7/sIPgOxvBMHAHHeLZ2lKyWRPGLG4ABHWT00JCagFKSHaNChksvpHCd
b1tsepQ6oSS7yDCf2XsQ/FdyHrICNkMIvhuWf5+0bn9YucNFWsmAvsBWXqAMiiy+RiZ95XH0oKnb
QKBEROEkOFbRFR0lMPZc5DlZ8Ee1nniDefgeo0YW0PlhKPIj9kqqbCvjDJmCUCWN9WiZqRI1U7LH
qxadE07iWS+tcZEkcKakEkNzJYsSBqHtqpXvqHJQ542ebGPs4zyMnWmV6+ndgMKKOIYopnc1P1Lu
XcgiuG3RY4vCAFwmG2pN2XFoaLYx2m3cjcdKsN7wiJMtSMbtIwPYRiSQfAltioXoHVSapPVXrDnn
exaCzMfC6TEVeCkdM0jITBnpBnPAN1yx0yEaYnreS478VonPlvS1dYUe7Spd2vYrei/C8HpSonVc
d8FminSE7LwIFpESt0slcwtXAxoCNjnxqDesX8jAIYdFljIBx8UGyymyC7o5c269t1G1kdJDBPl6
BgGCzJ5HxXsXxOj6SoIHuF+scyXL47V/ydHp3aipTklWoeIoEZ/N5SZVsr6Ovp+ERrcelORvov1n
oRevPHMYV2BteUH2nnOpq2VBY05Uv/bze9/oFkJhT0+mWi6kas3Qq4VDolYP8+SfaLJhDTi6H02F
yaMJjMtSduXS6ngpM1WMBFwTpPBo8mlBcG9LNh2DWnkkmKLIt3j5rmvHfNlG8lZTK5KQXYmnliay
IDtNGRMFNWqlUrNbCdWSpbZze8dl6ZkM9ZvOHsZTCxlzbE9aoSHlgwaAYk2NIdsbPFYUsUuvxkfV
Bu411NLOPigwh1r6OOxXx2aCnyPZXcWPY8R73sx8Qdyi1xEfx81kddbZk8WzLKsW1TDBSd1iw6md
6WGM1Do7lA0PRNAhEkFTiG5CjBPMmr3cytwChMbDmbQ7t0G6L4+w5mpKRfH3IHTdEXm/Yv9J9D5o
wQ6Un0lX35oW9BfTPw4+G8QuPc5zvDWz4hBr8UlPSXeICS+vnfcsJxv7RheEgw0+76YejaNvsab1
YhYvHqEaN+MbBzzYSvuIL/rT7bwNpZzqaLLXIiymg9CmVxNi+KIml7qoRxJPoHfcA5nWDWV9I8v4
1Ou6x5IqUkEAh5TFkoWGuLWok3sQ4yifx9BEenP1dmh2Fk/rlygTzqFrSeifMYpF/r6rNfsljFwz
PKVOAm08yLpVH4SPRgxR3BlNXhphlK9DNYXa0J8w7DGZSl53a0dNq7wKn3uS+3OG95vMyy5Wk62n
ZlwJ8Zj4d3jtzzNEWCaouYAvyaxyzt0ou+/VtFxUCcdTxszRM0pHjXfduORBNIlTLmkrmFZZzlbY
u7GC7lsxDQ+1msx5F299RvU56ONFzfAe2MmxzyZnWVX6qzFyjouSvT0DvwFxYdl1Yburc0i45de1
QDeXEzMhwwZ3hhKTfLYvlVrdWuWrJ4Z4bSkl20PSTrL0zUTiFun4NiJ5lyAViHg521Cp4ZHSxT0E
cn0kQiWgawIFhBxJQo1Aizb4VyTSk82AyO4its9Ftw+V+u4hwxs0PIGGRpnPlUbvFRL/IKp9rPT7
Rin5pdL02YkWi9RM1p3S+yeEf2vQjWUhsXubLAWS1CF00HgXIcOqUHuDWm0QAmqt6tiEBMVuwYnY
qDUN2wbWDoTSz4I1BJHAcglE/zH1h/dUbSrkmB+l2l0MY3cMq/nRYamBQHo1qS2HybqjUnuPPq02
SaCzePHZ7rIZYX0SLWkHMBY9a5OSZo0l1kf8T/mKPP6tF2TWwmDNQoVps5Fq82KBNUjVLoZeMpf/
cNw0rGlsta/pE0LtCSucgPpyHH0GmD823lpyi7z1WrPwMTHDZ4gnA7ugzOJPraMKNWpN5LEvKozo
Iw2CncMeSWj8a8hmqRvQmNk0FWa8/Xee/HWe5Hr+9/MkUck3kX/r/sNEycd9nyhN6xflqFJZVjdw
LIM89O+KhE3+Fc68RUBIRVP/UCSIDymkLtFYwDvwaEys678pEjYKh84rBVniu0/rHygSP1vgbaA3
yB6+AQGHmiPV3vHjPNn1k8Tb68hzrx8ieqqnG9H++ur426Q2LY18kh8i4Xj2deAZyCcMrqqh46dI
uIHPEcx0W50tGaRgsG2n5dyJLbO0zrHOs2FVC3fMrmeRuP5lHMfeE4qlmV1zr5uWsV6MJiXGFRhv
sa/j8SIJ87VrJes5MTAozBa3wfwcOtoqF9p+aoOdVovbTq+AsMXGeq69mzFpdxSNcmUuxk2ZdAbP
/vqgVbRG+Nkb5+urFoarvqr2aZ4+4fVmvZjEV1HXrn0z33txWy+Msflsem9b5Ylc5Sio26S2+6VW
QLPpHLmrB3ZevUeRoL+rrRZKSfkUufpeD0By0R6PelB+5G0QYwy2MYkXHyGQBMbsCgCwPvqLmhQV
Oc2LsPPkilI2zKHSRCz29DfF1bBs+ASGXd4NRnQITfO+GVEbzaR7zAqemfEk31vXPkx2U27qtGKk
H+UqqD2LSu7QWYaiuW2SEk+0DSI3mqxTERFb6FrrOuchjObeP2mpRbW0NzLQk/nyze4T8idukAS1
wKvFuRT20ZNwfSoYeos8q9Odq9N4wiAaLce0L9dJZeIwHvxsYXN2GvRaWvw5GWS1G0dq2K3N/I6h
GBianz1rIIKoGqn2Af3nl3knDR7e2YHmIjjHBoV0lAZQ3fRupWIT9OyqC2ku7bHmDM/Lx3Ae7GVY
w9YRkXFo/L5ZdYO3nT3nvUowQsupgRtpv/ttEQMTST79gnVeROHWitH3jrzDp52A66mTD8qQJDaU
dBebMIIN6skFD+jBbN+MNNWXDRUICysr93mS4VAauk3iq7CERS+m3XZybWt6sHTK/ozJ936ISGJp
eUf8M26Ul+4W7aJeMfH0yzLEym2D/h9Q5GelFgd+ykilQJBkVcdgeMx0NojJ5H6mafDi0NWkBD8L
QG4GlQ3YyYl6r2YZpUm15Fy5JxZ1W9pOBSrYApDleatYxJIX6/gypDmvHllD5ZP8Pjxvfs7c8M4d
2CcMaflhG9LdDI1+n0U5e1N4caOmSoCjDj+N9tlp/rPmT/h7s3jpWQYuSaScgCmf9Ly57iyiV5XJ
q38t7aYOaQTAQkfhTH3nRBQ+sOfgVU5vwn1GPHLvzJAmXEve1bWJJl59FIRduAXkIBerb2ii2OQw
zXCz4T6QSbLvCGuP4JNWuRsyf7sPlECOSDdTelEI9ueadtP0aaA2HwBSVmFBkHyA9UiPhFg1QSWW
bQ49BYvJMqLSdIRMb5PbZzfE1cajnIf3piILXrbCe4p95yPRx3rBscZ4PhubIq+WQzwdWa+9amN/
lF0CtrF/jnqbGN1s3TSlsQZ2eCMMay8N7WaavJWrRQ+wiZ5bOl6FoR8DGZ0BOp8nil3mttvMGO7g
4X5jeQyuyUtXWdtl6yLUlhkQQq9tEIxwHXFVufQIIjc1LYSg9Fa4NiWuVfTe1NfwjmlXU9c8FEmQ
rUOz/WihHJv1+Ki1H07PK3FwvY1lp16BTiVzsiehZKmW9pOmrXVUxQcvGsZtXTfmMo1gTjp+1VWX
mWU9FcKGZziDCh7KiFKQlHNrkQm7ApPkzKQjJ9Es/Zw9kW8VD1ndbkCaP0mZP7S19kyoxbrWe2c+
88CrN01ev9amsY8b69sY+lf1PF0GOR1oZYG84OBBWiX14C+1NE82xVwEd3bhT6eoiG+TKHpLTeqC
ZAaWqGFxzfKrA8ld4nuzO3oXTP6KMr5LEpGuAks79EP71NNriu0J+leotYqtXVOFm/DsWQYZZ0Cv
5e6q7av5SuuYDN2U2+dE7FVh1FjrU12BcNv2K7vzih3vZn9V593KdodhNxid3OKUEaAixLSVwGTY
PgFnoGkUk0pOJZvMA2PHbu0MFPWmhT/FsnybDmphpoXwvfG0zq5xh6j+1BjjbeQ07j6w+yehcDSI
uOHlD7PI+dfH6/8q++IskrJr/8//Znj4+aELMg/YosvulaTxT0920FSV6Zt1fxYUdbrGVerfuXzX
DtvL1H7871/rz1MEY4qKRbuGZbBq8DCDqy3wD3SNthU0H8lWnn24UtlDPW1i7eH/70uob+GHLwF7
I89ln8tzxRsT0Dx4sBe7uv1/+CIsgZDWCAqZaur68Yu0cZaNaSnl2WruanExauCv9//9S/z1z8Kv
6ocv8ZOA1+Eoi4hAy7Pt3xb1htsQy5Kr0ntNp//LV0LF/OkF8OevpL6TH35jeTw48K34YWo6Vo0S
66x56KmYHtZDwS3st1apvx3z1Df+5yHPgARpOrClKdIkYfDnL8cSaJybzpBsZJ+MjpiMexfFx6l4
+vr9/QsqUBeDv79rHD+a/+AEUR/z/Z5hsMQ0XEA6roeJTS0q/7hn6L8YqmSPxSgqtOuxL/2uXDtg
e9TwT96fd7Cn5v/vm08bbA+BEJ2dkAt1E//IP7hneGrG/+PlgXAdcA5BH0eP1Ml2eD8tPj2jinTq
orpLrwVxlxGLI4gXm/nKq+2AYmX/lT2d3NSVE69h6aS2dihav8dJ7CVm+kz+vw+v4lD0aI5oIgWP
s5TlDTG93jtXjFTyXMrqsrKy5A6LIEmn2Jo9slZze+3ncfqCoDxfTyV4kkoPKVWNOHfhi5Sqh9W0
53jTkcqlFskZG1h+oVaQujM6L2+fYX6lPHpHIl2oD1bvtglVWeWYGIfiC70ZzVOmcRsIU8YiRecM
rAijiCJ2jkPnrijcSLdaNtVrWYcG5ciusZaK+KlTffEwD3Fv7LJgcue11SpO6GQG87jOv/ihlacY
CqVdadizq9k99VMbi1VlCvc2cV21RvIq/I+KTmpUcdbdZlZOthS1Or8aTTc2t7XH/58i+hJmaQfp
oiJ3lzaLMRbeniyGpa//fYt+yQE2Z97fv0VvBYiY/xC/Uh/1/U2KXYvIu4H9wOWo/KKC/C4GmEon
YH1ku9ZvO6Tvb1Ji7/ynPGXh7H71F//xJvV/0cmuIwj8Bt76R29SDuyf36XssXwWTGy48GrxFPzz
IW77RdrYvTld+aA+zh6Ji5sEl+qTyG3zQE1V9jzxntj43aCf5AQbb+DVi8A1zA9eIAkP6CIHoGok
ZGxESAlaR+d2UseQKPXLPI8D8tlGeOE4AX4vVj2LARmZ9fZMulUX1bjT/OAwmnCwmWm7ncHb+Z08
ZAmHVYYw1NmKNlU7vhQU4xxETTWiraLRJmMhYr3PZNBMD4FZU0ZmvU5h4R16F9wTcR15LDMRgL2Q
VIl0FDOOuX6VWT1tkgmL8cAFpsSYjROU1KMILGq59HTuzIWfph8VARn7uivhA85z9Ilt9jkeo3CN
x3TJHeZACUjA/bfM9iZJJ4L+nnmOjOhJzyZSL1azsavy2hG1vk70Ttt2bjRDDuitAzYEbw0j/UgD
c7tPOnYVehzb2ywv7fVgmuHO5TK9SJwoO9QFOZZQDNdzg4OiogWFpYczLzTHWadsBchcBZep5Sjj
AL8drdfim0RW1qpIDOOqbU1/NXlctuu4PfRm+lJXHr6nvCuxRrvp2oi4Q7LE6Qgq8AfTpNFg18/0
TegaO47jxaQ1XPKdYVt0XEWnua9eBxGlp7GzP7RM6IqdCM0RTWslS8y4aXSLJnZdeJG1yMZxaw75
g5nKLriwsb0sGjO/GmrjLEz/QY9ab5lb4JQ0WMgmUr9X45kDTUJsgFxZPtjRqW2dakm5NdEt48Nx
VM+xK2+HGKxJC1qFJT92s6LQr7wogNogtoPlXKRjcIK1vI2N3lzPeWSwEXFhTlFFFyVXxZx02GWK
TWBTBDs708mZqhVL1Hs2uflqHu2jG1IqP/dES8yGtA2cywBTBNCXrXCm+zrAAzCGFaV0Kg/dlSym
LuvMEe0Sul3/jtgAB83CIkwp4IiFuIS86hVJdmG4dYOVY8rFASOEtfKMZrxgB5H8OgX+Oy9Z/1Wb
PVM2+9r+VZlVH/X7YYySSiU7VxZlB6OX74eJCf01YI5ioAX1xhH7+8SE/ApjCWKJ7TnfRdvvExMl
yTimCPl9BWEtz/knE5P1NRL9aWTimMA2oKxi7Jct+6eRyY6jEoD1ZFw5OXaqHb4Xmrn8OjulCCK2
mmvi+TGE70e+P99K4hUaVZaLIg4Xjoi2AYRf+hPH+6arWOaI5pqY+zaw9WMfsqooRvJ97WrudwQT
n0WEphhtYj+6MtKAtThLZ5hzavwyyABlvNUwbc3fcjVATD2HjB36zxCf8rUPnWJjy+55FvT0mTAC
LWc4J7Kz1nWpgTmETTIPxOIAsJ1sPA2L3ssfSo2WiaLRP5Kq/ZSz+c3XKiqZerSmxhxvC38E7DDa
zwShHpvZdheoErR3uSClZ3AP7jQdNTu7cQ2WLGPJbWYEGezBceV/tJ9OCKljmNv3ZjBoJSBcwPYI
31EIz66ImxoOlfWuZ0/OdI5bV2VMl0gszQ7TcUy4FiMwKdbJXjqZPhYLlsJWt6qsSe6b1uqCVyNh
771ORox5cTkQKlCMIcI+Nd1wBHQ6RSDSQ4Iq+heVyMQloCtSkWUODSeQ4hdNimREDgLX8Jw314Pi
HPUV29dKsY9MhuFF28BDihUZqVCMpKJ2n8QMNUn2GK1sRVISAjdDp/gkgHSLdaiIS65iL/HahJ6g
eEypHJaxIjQFitUUZnZyChW/SQZ9y3mPYDoqulPJwrZd1Yr5pMWAkOlg/TQVD4rQbr+sFSMKeMfb
0PHnM/0AGKQiSRn0uBOY0/ABgrgLFG+qZ/O2LhWDqgFGlSsqFbWP+dm3IhAPX8wqbUrWgVHaW1sR
rbKhdbZ+XH8UinblKO5VrQhYnmJh8ZujuUfxsXxBRtacYGaFus3vhn3xolRELesLroXXgOprRdyq
phIDH0aORaugXig9zVEqRlckoXUFMeGEirXLturcfM0fz2Zj7nwm7FsWNsAvA8filnQlEDBd8cDS
oCJihfXnTefYpnW6iFn9QxCLioZGStAQa+4tAMZSHN5wpHuoY4o/1qQm2985K7t1/AUoGxWrLBic
Jv3M0ZB2vmGY1wIQCw4Irz12pOuao1UR3tbHO6rEQG3qOSB4K8iI99QPk4ZIr8+hmk6kWLfxuHSG
9lmL6sdclOitPkpWDJiI6z3uulRHwfem9MEoBfDRNnmZghkIYhzFFxPYEvR5GA5zf4265C8cN1fN
NF69R2eHqT+89Hq4kZEfL8dA+5Rp16JvJ8+4Kg+5nT8pKNzWajV3CZBUHSLBiV/Fvs+CT8H7lA5b
WPyFf0dS6lwb8QFipEpzi0vWRO+mGzwOuUbFaTOeu7nx937T7MTc3rZzcF/HbrjWuwIBrUcnx2oI
IC2ZthaciGVasjrxi/Ioybg0fnwT6Q3DQhSSfc2t+ujoM+GUVLHrzB38iUPmhVe+JU8aGYHVBHeZ
dwpmB8yMxmJK8pLAcJC80QpYvrhZl+4ia0jYkECOH4GpHVxWejBJhNpZFW9BS4Cn0FlzuFZ9pkHv
1gXktE2BAxyisuetLCJcpZP0+Za0DpmqczfVyJkUChldF1zSF9wdtesvDNuss3Jq1Bft1KU3xWa1
1dsquckxyKx8sx0WnDD9Fto8ZGNnDLaVbUzrOY2BU/f4EfTQm7ZjP6XrEGoM983CXgdzSqi3cT7b
KYKZbc976luu9LI+FlZ64fRUPVhSN3EGWfnagm+6yew22cQIiNs8DI0VWT+xM90RJnoFSDbO52WY
JObWtEaOerggu7jgXWtKVMu8tCKgAyq+XXFK6epyK0t+UqcZnB38fkqVUsPdghwCuAm5EuILGHsW
GCwVPNkv/r13/rqGRsv5+3vnMSmj/zDpGHzQ90nnq9/FpqGFmyfB9p+0IdxEJHTwpXPlQ/H8fut0
f4F3pC6DPFTdL/3nd2kI1UipRZ5JssiD32b+k0HH+8ulkxmMz0fBjO3ilbSVdPSDUGmEVjdlFd4u
Cpis5h72BZDhZTkVxiqG5AtujWxLcmr9zHoCdDmS5ZH5ta5ZS5pp8oJAMHD2ZefpGLIm322pWxIN
NhGPCwCR+BYhB3r9gVc8nhCRizm7FtA9KowxYI9eRml27Lesy8kt65WtkCCzMvpGdfzGQ4fnnQKH
sDqP6fTSuDz2Wza62RIY/sSY0N7GRvhUfRFIaDolXJ1/kUkympGWhcKVcOYDK6BeyhvdpegxMZ9s
bXJ3E3CtxE5CqFS55MijGCQsh+rNpIEqGvBRd24RLo2q3GBFl0tRpLs61XYJ4Gds87AlrSbd5mCk
VkRh75NIezdPVTmdhA2ay/L49eQz+6Y8vDNq/7oQ+jqY8DnO10bn3suhfcRjuLZx8QWnf9+IX29E
ZQf++zfic//2H9zF6mO+vw+Rf5j4bEqGeFNBbf3zjQNplk0orzT13vpBow1IpwTk6MidKfX2R40W
SjqmYiPgnxR7B+z6P9BosZb8Vf5BX3JtGzczoq+i4P74Tsw7QMyjGPWrLiUGHJRMk5mlHU2tVwt7
o0LDAOvclzYt46QZNkIkBg4C+6AWaDxzWaAm5G8ummbuF7YPz7yV7naQ/W3uj9WpmTXS6TocVf/d
GCjFMwuitW4frmZX7oPQp5+PhH1FR0/fhvmCXC/7Wmnfy7LZ2Ulc3tURS/Soqt5dNr2ir+5JCqua
eytZuFH9nk/K5NiCtWEK3RFBpxWRLXt5jUVra6S2fdYsmuJdCfBa6iEGMi1caUYD0ievUQW6V8i0
72GB182cSqCyU1Xv/ZIlcy20G5oT83PQNZTeuXGwyC1Gj3Bi4x4mrr2MCHpR28OFYiSE1wTWtzZx
r2OnvvQ7pmqk2afEtO46EVQrLTU/qswZ1+Ec3TcDtgnUn95l5ixmYxfWwTcd6M0ijWN04fG61NNT
SzSmKKNjOgd3Rkpw3FHdO42p31VeCquMP0IHU2LJQ5z8YOe8Tn0Lo9Jrn3zuCwvmCgNXKDAvWz+r
PB4Wu+Q6CVQku5C+PEwTBSRTWX3qijrulpf+nByHSUR7K21vejdAMHZ0uKtNAaHGxWsLKWnhVQj4
c4brVdN6osyBSa4w6PIWDyCl7uukbP2rwKymbV765mJwqYIqOW+itvkw6wFv2+xF11qfQZZJnPeA
gf6ynszPHHEFS6SLqhSnZnCZx2hPZUlAOsyoG+qcItuUOSBFzJxXMRmSpZ77V1ITOF4Bki6iSXwW
mW2RyRaHvjEvyYmXGDbmhmpOG7MrbtaF4WjbdMREMhj9i1vFD1mW9cuGjF9txhh0VadzG/HLzctU
hfTROKEfA658K+gm7ZFkD3apXRt+9WnH07qPx21f4x0pUfWXetdYezev95VbHMbOWduRBVsgu7It
yoxZg6t6q/RRl+G9U9BbSjRR4H7xuK0DS2wNEy+j2VId1ePmrcF/9Lp+U0zdQQflWWfpTYJZAqjU
s9SbN+RUQd2T0a6mdrj0G4L8jSuBB+nlyfH55TqsU7iw2VtXJ3RDzp5m0si70GvjHcYHqKlueqzw
ey4Go9pULbwq0THHT+Owz7iYLIdSp/ZTvsX8rhl+q3BZujAQhVk9WWV1CuASuj5ku9hqsQ2F751O
bVKD30rLZb1ELRPogf1xnLJ6OeEJ4enufOukc5K1iQjppxd1iBshIeu7zEyyq3H74qcMrUV5b2Tz
g6G113x/9DPZxG1kcKIPlMpSs19F84DLychOfq2cuLN+0wbWy9QF1VVkK7j/qI0Hdi/aXhSyoTgh
uRiy+tbutY+4ym58t8QvSy8kFyJL2bs9PsvcxM6uwIPchHW/Si0t3xeFeZ3qgDvQadxlDUFwoQmP
IUDwIp58YrpkpK5SgSjL7SxfhTHeGwzK11wDgRo7+jsp3XT573P210ULY+jfP2dvkzajUrz/q7pn
83E/PGtt8jOIq6hncEt+fNZav/AU5e7pMnmyj+Gffht6bVM9oMnWABeGJ2HYCH9/+C6/oqGYKmwd
jwNuzX/wrCVd+POz1kYnoTmZrQ4DAaP3n5+1RtjTZ8UJdx4b3duUgy25kuMWgUi7I7PCW3GaeEED
6rrih9CPek7vBMwxL9vnvi6ekiJsT0waKjxj1bdp79o7Z+zbS5mF1beKitWtl/Nqj3MgD4orkSyr
QJPgvw1tPLfAb64IFNrPmu52GyM0HX/J/Q/RuwxL+h6qAEUuvpnG3MG/TYmcSSBwO/tucd/5k/Oc
D15zK02nP3VtTBd8r4jxXk900XAm8WD1escGtjU/iKvkT46elzuIYXChqrB9HWh9Wccg6NesJuXW
SyVWvXiormVasveEKBIlUYWdy7CHq1iDcPwuWqpBjwYQIozSQM6Ams0db2KoMml8GSNfEVwI27K5
8uJK9a0bY3wbp4FKPvS4N+eOdbC89BGpOHk5GkYbWUX6HuGpoZJ0WplRztpKK4mIJn0+vaWDWcOR
IqMX1OH47BKXeMV44sBkGt1yE8Wuc5h6d7rtpJhfLcdBFC3NREdo4rpLf3qwDasheuOVlJDJmefX
sI3nDwKGT41Wb8ooOWgKq1sYLiF/p6l2+FEj8DRGP20zqtiOkYHDOxNjtXI6Ij6LsRD4xhIZJZsW
NxQMk6EgApzVj7aX5HsMSPdWRv1dpVHvFOuSQhC/6RA1W/fWj6ti32ldcF/ptXs5BtCaClPwrGRY
EHdhqxcfLY3tb5ontYOVd/CyxgLXkKGtmg672KBp7bjGh0PkdgyT6tPTRLtnB1hyi/LbPdKL+xLN
hreaA0ywFFqnF176P+ydyXbcRtatX+Vfdw4vIAAEgME/uAlky2zYU9QEixIp9H2Pp78fqCubUtnl
5bkn5aqik5nMjIyIc87e3za4uShV/Kz5VuEO85LBlszF89yNyhWLN3B1a/EoBLX/CfjW8JATt7KG
6hPdKdFYXoc9Wsfc0S38BIbRw1hpDI2mkBO2oBPNBl7DNFgLoFfuRC/eHNljPdEP1jjo4HDIVuaU
ldobxz9oF7h4K6ds8CgPuDb/3Yu/Nx/QDf31Xnwsmv/5v3nwlr79WQuCh/7Yjhd5CjWMYZCXYVHk
86Mfk2+NKgZbpWlYiOTRoLNT/uhBkCOL1ZHRzI+M2d+3Y51UKUoOidUf4CRE+H8UPs858ZM6hXmO
umjUdQof2q3q8vMPLYiYDqw95E587rL1TKvSD7dG9fThjbn+T0Ee6ro/eRYdvjUNFzZ/3eQ9+Pgs
lR+liFDM+NwWcZR6ha3mmFQAgbg+kZbrWG8Id5qEdrQCm9sq8G03nf2rHgLTrVqGN2kEDdoMo+Og
qoQ1awoZn+QgrVItUl01CPcDtICuD09R7+zKTjuq83DTkFZXzcXVWOsXRDcHNU5oYvZQMWK1cvCQ
0nD3OxqbkXBe2TSZ8yQMQ+OWDQeIxbcIQQxYUOawqxr+BQRhHj9aYJQn2KXyMChztvWH0fJaBctc
7Agmot3MaZC0OdppYTz6VL0cRqb+WXDVXSkoyLaRmoRyHXZVma6LqUqeikJDjsllddoFDqi+vabD
X1r1un2WUzONWwva4GqUdkhTXy91+3EWlUSIL9JtrczS3GrM9ucK9D7xK5XbmVk7+SsVxP/FroRy
4veXGDxhKi963mJxTxVG5FF+UrIsSiTQAtFOT43k0I2VtK95vkb/bE4B7XkxFVibUM3fFlZtjtch
NRjdzMm5cmppHdB8B8+q1Iyn3goRNqXTfGe0OR44qA5m7SI1HOadTTaLdNWhcR6KwoYJi6xnrXQI
IEQ5hrj6MMdR4U77Xpj92ek6a93ynh859JqXJgy4P8NmmkYqKaeK9gri6zVSMFpV0O1vEfAfYnWC
kVBozm0A+38FERcA2OSEm6LMAIclhtcXGpKr6MnOzP7IR9d7ssJAWzO69hq0W8icxugggd6vrXaa
t22bauzAOO2bsMcdNlXNVur9bjBypOajaG6CMtbIGslOUZ4SQt7kG8y6N0Zh7u2wiz1fpjskrIkX
6Op14wx3rWb1DwiQ7W+4HsgATTw5jPJbEXWemZGF5lfavap0G+yL4OaLZO0ouE7tZhWPbOeNLF+b
pn3Lo/ptiqdHOmJerfcHhxRHbnz07uetMaqnye497HI7lG1H7vMcFP0XldtKlSmbdNDWOkPAupu+
AonBcPvVVzvNG2Sqk+cCFDsx+2dTRl/SWRpr2cAGaHE1k/M5H0Um9nogTrLsPCrr55KPr2l1Dijb
Wvu93AA733XqjPGwWRMCysxWrVaEquGLaHJ1H5ugbbQp9Gj4XPM33pogw70xmgMvqglxNXo1OmE8
hJ/mi5s2zRuKpPYqECOLGTRoWo0kvvlYa+1sunL4EqkFcx2n9kb4pXapH42xeCKpzE1M664TwU1e
lUeL/90L55h1/U3oRIdUlGvhYzANgpGxWqLRbCDBraup1IJaPSdK8rlItM8lzk6u41dFah/iTruZ
B81LQS8WaXrCDulWaTVdzZbFnYMmh405tkqsXeeYnlMT/hpSTSHaOdjFPO2rOc8PoHCxMPoWY0Yq
uCmADm+OerKtnHLrN+jo54nL0X/febnz/+fOi/bx3VCFVIp//rzzhpOGnZcZ17moErHmmjOhcKcI
zoDUHttMJ967hwtahBn5OfObVlbNTVUl6r092+kKH+ltV8dHdfS9xLGe1LFlLiq/5WhcsEJj5yCI
gdyMSd0UM2s69Rmm+WbjDkz+VkbVC8+y2x3wvi8AjTsXYsijwAW7RlYONx+TMC0Gl0K5GfdamVir
1s9pV9VbAcE/FQTlZdbrlGZ3uIsOHab6uUkPVQdlqCyOdiOcbTtMsNqmaCdImXUbcgekD/QtNOJt
AEjAa9Tm1pg6zS1DeVBDh+81EkWcRhqOg3p8iKPewE7PHVpM4mJEc+5WUk7uGCWnvpzPYRPvk8Hc
mtggvIiuhp+T1tDZAEQzm1hVeNNmUB6xfvfwj8QlSocrFBo7zjUMRyVM3mKiXRjXlyROb9GQB6s+
71NPIhBw9ZIKua6vI73pvWwm+6yu4wdjMkisG6MX8mWuop7FNLJA7XreJEm1MFSRO2YM57TnOJu8
TCd2wDF25Cee9KZ4LZylu0G/KnCUV19jxF+SJizpia0SCqm9Ui57WXuMLPlJqIznVXQEUB6fp0xo
btxMyRr9xUWfTc2DU7YgsmN7B4a1eyx0fbiiCV/DVRiy73Kdv1RRL0r5j5oPLiISRwgYdqi8xNL/
ckWI53oYaxKqzj5Jznp8gKPw/aL6l8/w87SFX8nsX6PHTIN3me8st62PlxBdzrlpO0FwTslLV+QF
k+4uKm/rIWYl0C+RFenf67/5AoqfO8v/+azL3/3hgtWVSVsauqKc1Cm/MyFw4OnN7zgVP5HzRbHC
RMVtbfNJ+vq+70C3Y7+N+VYMCws2KlzS7T8VinVEIqe6GLo2qTNoX+yQJOFMjR+knQ1eQDi8lRrP
0k/Gg5bSWGY15cW6m618bVMUeVqJ3cTKp2nfjZb+pchjlCtM+ddRFH1NWavrSpWhxw48eSgd6Ht1
zl1npPOW/fChC3qxzwI8i1P7GlvOjkPpvqnrjWyGZiXMeKerobKOUfCt0iHPt2jkVLeCqevVgwlX
KRpvl8bigthwKz2QKwiPVyz6b1UD04kW7b42lN00GPfjjPdJTQ5mC9qRWOaAGbieunEb0QLozH0y
x1eCdO588oWnp7SYdD9hl1Wf+sUtH8XZyaYdmdfDuvdnVjCYmzbI3JCUtSKm2VXOse3VqX8qQV0D
RNtphZxdOxjvQglTdiyV+65FeYfwRXVnq92iziFNvite6LOfajW7qdBg1+3Y0qs89CY0zN7Ud1ZO
1nipaQ/5FO5GH+pDX3fnUnJGMk7e17XxhhKUcM4Iu6NpbIPSOFpD6v7Ncvu7Nf5Lb2XAbNsLaHqn
+JhfB2dlU11Vj3Qv9uZOHm2OHverGFbmQTvln4er//7kyxDnw1f4x1JnjMOsVdBnWl7ch6WOCNsm
SdJQTpTtq/wo3HLTwc+7Up6sjbpWHy6Ke3zq1zHepBf+Iz1PR3V1iDb+mYo++5tX8/PB9/3F6CrX
S1uXlFG/8sYmdcBhry0dEvUaYuIqUp/qfvff/+Kf96z/fI7F/vvhD2YigNQ0TEMO17eg3jnTzX//
/X/6N1iqwySaREXGZj///myUs0LiDoe3cl0xh6hN7pzfd6h/ZZIGy/Ovy/e79iWPmvSl+5PqfXnk
j+qdbJAl35IK/vcR5I/qnZmmscwrKeB1vOzyQ/WOOH1hFZG5iJARdQE/+iGVtH5jPIIh3tAd0hYW
mNI/aKbiL/rpO7dgkVRb5SVwnhkIxtXlO/lhCZJJryc1BLxLN0mydmJRUmVrhroYMtoMMRlGQwKN
U/NsQojoFqzZwjerAZ31GtllmZYdKxBo6VQc0ia/jUCjtQsjTY/9kw00DSIEQwswagiEAg+I0JH+
2tOMi/adjlngFUavKAuSHeYNVIt4Fc7os/HrYi7pVvTT4hPtyqV+5TTQ+1z7IiDUjVQVKTqr3taA
78NjP2AfbYNtggxtXqk9aTyrDEg8CiJFZXuQfbm3EPrg6XAOMoVmdq9jF0c4kA1x5zkOTdJjHUfN
czz4udf1eiYA9UHSIychvrKo4+kpOGYz0HnFMO80dh3vktzqyemsA7VaZzTNofYM45dOLlI3jNZW
aXZuS/fXhl2xhVXyUvqF71lDxXjDTocNKvoTKv3KFU2L5zeM1tXMfTh0dCgu/YNQ/Uelnvetpdz2
mFJzotgMuNq9QjT8YF6cXk4ru5RunYrbqYleSqXg9mgpDKG6U2fltHOVkurZIo3O0W77TtlLTaxz
n9lqUH4TREllyrDTovYwyGwX+NUxcPJzJsZzV9Rf1Km5RVOyE7F8SJyebA1r54PQkiENxSot79KS
XKM8IrZU3Q5mc1u3tqePA4kZxlNm0S52wMnazYGMuM61M12sY+dbTsKWkcozpJn1gFASvzuZdc3J
j5prADLPkKA9Cw9pqWjr3ArPqGMv5KOtHHM+542xa0bxNA/FCXr5ysiWeavhlvGwQaF4jv3iTEDJ
1aybm65tD7EJUFqqn7ljbMhtPZV6+yUo7Hi9fPSBhXG2Jtsq07a2HI9aD5C5c9RzR4TCVMXnWoqb
asKWMCsPZqjvUwS+q7TDRJRk+0azVzanseNXb44BUzVPn6w4fCBJ8LYNlY1fmkfiHTdErpzVuE+p
crTjYIxfel4E5HbNS3Lt6PfzAVeaWxPqFlgazKrxahjDfdFkFekV9VttiVvCs27ribrBD3rzxjJr
Yi6G8Ewq+2kyRXapgWjtsyQlywPgwOI8ZgSyMsfqokrzOGgsqW7RlPaNQnUyINRvnNcpGM9odD00
AEf84zdjheFqREoMHNby9Kr6DIeP5adLKjV/C6J32ii6/3mu09PgjOHGzrr7ZPDXuqJbq8SA+CAI
/VppCSgjPTOW5MJ6XKD6hNCE2gnkza0BL8mFa0XtNPKJ046+jktl24D2KuFl75j1K67SWPEG5tGp
jbst+lnXJAuc3k+3ZnXwaQl8JmhwryuIUm5u0GJiOg3FoSEzProYfnLUK2Wr6QsStDqXghpkqLKv
JaPKDXcbb/HberE/8Wa18sZM7X1BUBxes1hf5QsN05/HFm91B99GOK4ITS74UXnMopTEylZBv1R8
ai1m5JPIejAW85mR9gn8/ivqRkoDW+z8MkdaTAbRKo/7WxIuHltHHhQz2NlKl25S9AKuGg0n0wHE
0RvsAJmCPdcpSbYWlQ8nOSqrTdxNx6LSaCzq0YXi7aGXwBzCcLwPpMl61yIIyrQn7OTip7w1YZUh
66UEdABquk6E1sIwleGIZju9Ck06I+9H3r9n/6IU+uuz//QC7uM/Z6jLg34/9sVvnNK07bk5WoRm
8qPfj30dUCJYb2liZl40hX807YkYE6pDjx9J39JT/2OGqlu/LWZTg24+1adBI/yfHPvivVb9WC3z
wuD1Mt5F28iwdhn/fjz2beYCxIqo80XPwseKQ9ZNKSsh6qOq1uZsY1dyq8FAMieFgtJ5RHfNQKgD
EJE58j62yTos2n0Wx2s4BH7jWRYRUeuITthDWjjauhDqTaDk9b6F48XsEnX/F5EWUL5yTe/DK8vv
M2TYuYpPKbXiXdPSUcu6uLtRc4xXRSfvhmSpq0hpIj0WgXCue2WIUKgai/tpUh7RTT3ojEhXqgAp
ptbg8ZSJoEn7wEQZeiwOBsQYZgJBNIjV2zIW11CtHkXf5F7YAoby26VDU0Oe8fNvU02WXkjyrG9Y
gSdqKltTjBckSy9VCuvO7PXOA1L9Wg3Z7LUq7UZntNeB2hIbUoTaJrGkhZZaMab9MBaKGw7BldZZ
F51A1k4Lr2YApth4LbJBQvqZor+q+/IpVJ1nxbDQyKT6TYIWBH3OYxLNZI/F80NbD1xBtPKs+exl
ZfFNqBplYXTr4Hegv58dyyDba9n0mDTdlVL0SJAgKqrKZGGi0juUQX1P3GnSco1KdlWjQD4JpUuU
hPB8QTVpUnJdxFRO7swkwe1bIl7DggNvAa4XMQ3yDEH/2k6S2c1HYiCxKH8Np+CQ69q0bf1YXZHD
5qJQAril77quZiOqgQTSBziFVV2VJI/LLtvChcUDQFTLHn+g2zTmCaovfL4CSDBGkI2h+l8SQA9J
OpL11cEtzMeXQBbEhIFSK1KHxikq6CHsJcNx5UWtYS7VfYuTIqER2Dhv0JrtEzyofm2rJH6JLpSE
9+rAVfL6DpSxcRZtVlxpImASYBHGO9fdorSeIaSkBhQ1y7OBTW7pq7WblPV/7hgaWYqxx2D4yDBt
p3bicejZZoOwUb22ERp1p4iPZQ5VJXCwJocmdhq/J64sH0mogTvkbydNU8/lqIsbjmbwikmPk6ik
VxEcsgQL0liJF0pQk9vAFF0sXZDGZhqbyUZt1HJQIT9IXXPIv0xNsRF99KkIwOo70E8CMnbdOJ3S
C3IOFO/Z9sOm9idjt1+qR5OgA3Yb1IxIJ98nhj/vEaU+QtFXHO2SZg+J8Wqa3t827f7kKRxgsTi0
2COBXf1SoE5lMDYxGsBL0nzpkuupvM+d479n1HdJLd2Evz6jHt/ytvszZq/Jw36cUsyPmRsLGpuq
9v+zxH+cUgjfTaSstPxJtEBe/uGUMgiuhPnO5BlBLt3WD6eU/htqWsFy0UEVvP/oHxSnPy+OBXyA
JVDTTJtekLmQoH9ef6OqBH1d590ZSIC7eD6DBl+Fnf1NWxdGCb/op8PQodYmZIOFTsNH/fUwJH63
r2RslGcIPM5DEla4czLMZMwdOd5rV3+fR6KEn+9ikQQrYBIG3EMreC6L2D7gAnOuNGsRlHyfcDLr
1N+nnvJ9AkpAFtPQ/n0yOvhV329irWCeaGCYkUQLXeAwNdo6KkvgUMWQdr1rKwH876jx809RMjlr
EzcsjN38q5kaw9laCAVGp5apy9AjJTrQJ5Ej7TtEgw1gRysaCv2i9pqZHPs0vtRtMlAM56MbOtcE
fb2ZTfmaV8EG7cq9RfBkTkCPqchiK1T+ChqWa8fwN062Nsds709T5ekJdX1TM8Kaqm8h9qG5NM6a
KL91en+XakG2oKziZyIgGs8Jku5EqF59rhpTHtIIIzGRYOt5RpaZK4r+zYibfGf4oXrO26pcZ72P
/JmEMzRD9gmb4LnJ2flmwSQyiGaxbXPrYdKUT6kIwYHFoYkYtQ2Etep0ZuZB46M2slUMk8byK1qx
0RCSPgAfA4gp7Ty8bYJeWXc4hdfOqI6fjDSaeBdFQQ82gX5mKPXkxeZ8W8nWhseqaX+DFBI/d/re
1zJSOlVbtBrs4eYvnb5qqhlPj3Z9btbZC/pS7W6+Y5K3qlxw99TUK+asa3Rna1z/tFfJ515TRLjJ
36x1c2nn/LHU3zuONAO5+ZnL9s7I5OfvFIqEoQvAYJx9ERwQMIxuElQ+rDMDv76VOFznfH1TC8l8
yrfVU2DV/kHjM5JJlbmTBYfKhxiA9PVzCwJ70whUsW1bbnx7/myZvombDzE2FdQT/QGmq3UFpxcj
iTcODHS1MM5IjRtJqna2gwZay5/dyrBBaZvODnovJZXYcl1Fct0yZ44cNMZZvotHwyt05McF4QMD
UfPCRymW5BH3IeZbWUZ4CV/i8zA6+rYKCGpv9OAhQHKv6dmpG22VqqyEGsJCs5zKIIEmvvuwvf7J
afnzJsI761ikXGAFgtaIGsf55UbtzOjdSjLpzmqfxVs2AgiDNYk0THfXRB/ikayCl//+lII24M+f
5i/P+cunqYxICfskaM4kJz6bfu2OXVB4c2PtjKw7FRV1fyDrcmVVlWumNDdMI58Y6oO9tRXzWET2
JzVC4kdf4BsG1w23/xN4lBvVn7+aQfWZTNnKq5iCf++t/1s3LtO7vz6Tl7qxLBo+ZQ7nqJ32r//7
f7T3s3x53O+HMkFStH0t2sZUkASnfCgdaSZDQv1eUoIm+6NytDiTGUdYpKQI8a7p+tgwxuiCNheB
tfGPG8baciX7YwdZGsZLGYpwlga0sdzaft5B4lpJhIXC/5Kps+GfQkSQn0dNDe29Wed5cA0wxDzM
XSU/y9DAGO4oOYAQwhmH53q2mkcnNIo7x4nMmfDMbiBfLbfap0bv0PUueb5rGeIZMCLlcRQUBGNA
dy8VInHFKK9tm5B2QuO7HkZWOr0MwfwiQpLUGRDKxsbILdWtWNpAYqLnyTGwHnvwpEp9YDpH8HCj
BKg0SE4M1OklqWrGiUM9rBB7LCl0YDAmZAswTewlP25cMkSx+HbO3gjqetUPsBozeWv05m0WSRp4
OuoCfzzPdh14OEJe+K7cobb/HNr0kgp87Js8j7m4iJns7cjJXLRQKAwM8zaW1rG3m08CP0Yi8/QI
hRElb4JnwYc3YjQW6ZF1QH92KG23nJPbviofKmMuT3rdFysijDXc1WDTaximRML2AF7SBjefjiBq
zIP0mGNsny18BpJA3UZTS69T67e5qac13hg8qU23S5t4qzrZTgPcXVr03TBLu7AjR7Z4sYGKHLhh
zHuAQXVwababuyjnvxn92OFZKR7zMHmF0HxjG5BCy/SrloT3siDruW1j40h89D4qlRt6WSSQmVbo
+lnhr4JOHoPFZgcc5zaUkiYsNg1mqa+yyK9mrk/lxI6dqKQe5zk5WmVfxOQ5j1ds+C4OCaSqRb5N
IwUFjtHRodd67PP5YywblBFyiDZAvNeybO+Qtw6uMlCZI5reGJXVn7slH8CaGrtd1ca+TWT2iKRr
xFDc3cw99aWph+cc4CTWHLKN46l7qKf4i98PzEBDrqGmoWLRsJ+4G3+yaE8KmgRpRvjIuLwMtb9V
JpuMz/mSJsR8R2Lj+Ncs1uJs9N0xdZLreZKfIwmSPofkuKlH/CAGrU0oVdNVK1l2mhkfC1FQkLJ5
h4r9pFihsmrNIXK1ePRdpV5InwkjmexCGvcVR9J134DHb3sACYFl0KitPhMCRsdePGRtitm4sA5l
Ly9ThJA9l7QLHGQ7fUVDx2/u7dj6QvzxqZbdGyf6fdNae82Sx7hPGK+EFo7K1MHIXvA5+HH2mmoD
X7E5wGE6pp1X5vLCH7/Ig8NPVU2/VFOzi/C1a0bVG1AvXxTFd+1FM22FkDkzPbteeH7QvmkFZW3+
FC42KUpZsVLUPL1S0q50zSXs0leldK2MS5PvQ2yY0hut8T+lpDu7OrIDRiXGzrHnY5q3p05LkAJC
vpDZCx0e4lV50gH7CU3t1Cdok7zIJlW3hm7s9DJNCDtNTx39NiAOdr6ZktwzRLIoY7iHmOHB6Ugb
ipbcoeY9gmhc0oimOSftl5YzMyOyirTYfuqW9KLgPcioWjKNqlRtt8imUOEsiUflkn00EoLELFY7
h3yxXD5zE3Qh3QJzSU2SS37SvCQpEfGWXqH9NrctbwGicRKXtCV7qUScqS9X3UBd9Us6U/se1IQq
YvGQk96kxHSu30+nf4/pZZj/18f0/Vv4kv3JIb086schzewWbhjMRrlMd8FFfjik6e9KCknESOoS
Hkkp8MMjo/7GGJiakXHrd6T5H2NdB1G2ZViLh4YCwfhnflRT+/k2yimNIdykAkf/DYPq3RT7sb+b
p9hnUl7GpXfCpMGJpT8gZ9vFeQ7wNQ3g85H3QPTyRLuq24/DpJFOKORa651DaybSLVFpbIJ4ureV
otp2cYapVItQ9MlsHXflV1SVfEswkoz+Vkoo1Z6udI8Ns7jbKYuHraylfwyNSe5jBM6yErpbWn19
MtmwV2Ygws1oaV8IVvimEuq1K4f8XItY43BcyCzR2N2SFnhjYea+QS8DiTgZyAtJc/J3cdKsaAjW
nCPgsCcHmGzGq7LHZBMHncJXkmjWeCGN2F30quVi7Ehj9SMgU3G/kwsgJiiJmWjpzaIHzbWLL7hy
jF3O/4eeamdpNJxLnn5eOBc1zROeBfbFvFAwalIk4eYOpxRARgwog1TqXVszrUMI/NIuLA25UDWK
tjdXvR/fFsgZmW9fES5NqKMktzzKqmk7L9ObGlCH3VWQe97ZHbbyUALzcIB6lJxXe5OIcJIZJ08H
/KFX1tcCEEi1EEFq0CAUm9dm698HPcyQAYteD0SkBiaiAhVhUN14YuGMcKtZ0OvFp3hIDxIUybgw
SSbgJONCKekIs4nAlpi581YuHBPNCCNwIbBNGHmT5pAyPdcX+EkUDcz5FiCKgIxiQ0hJFlTKsEBT
0hxPLgg6+tQLUmVu8MjDWGGq6hbU2eskiDrIPVHolhBZigXNki2QltGWJO7AbSn46NNU9DqZfmq7
zmetd/HJoqk1uuuygcWsWkO8xh79Ff7KJ+Blr1DYjY2va68ljplNOIbtIafG9BVb3wQM5jdy1H13
rhpQOSzXLT5QYs58I6tXkVYRK23oe6VznG0AvI9QiYIvQmF/m2LpGfQj9XIJwvAHa63FDXmCEtpS
XsJBVhdvta2Wbpkn6SaCDSND31lhyML/SvQRlPqC604Rzp6vVS7DFX01wA8Ieul4oT1e9N7fCTPH
75xfZGLvFSXadAjkMs8fTg6/szHau7IasORO1nWSySfLyS5JziVq0OPJ8+MRnQNxRQDYm7z9ZKWh
Snu8pTyOS2fdWA4tc6d1ULHnmyIpT0IAQ1Gyhybo9kkVoNstufKJhlnqdC3Sfmd0pOZZwyIgHcdL
lgqG0mr6HDbR2ZSYwqQ6WPu4so7Cyc5RWwJP0FuMvSQbF8wGVlKibg1CDSQ1kX/kf0ZH0UVHLSuf
Uw1vu830diU1/wE22FNXN4TaJsaWqFDHG2NNctQbplfnxLmGATgipWu3AaN9hLXzyLgiux2k/zTj
q4cb1DXMNXS2Hh4XZOkISTr1yjjZ+3P9VuW6sWYghMXAIYuWNDgGwxgwHN5Wxhvhk/D1m3aAvqJH
3YQfqjG8pCe6FlnsN4Jqr4yI1JYFvD+mZISncC2gFz3PUr/3CQVzayKSXKBhyiqJtVvkoPizaGkE
en4jFAYU2mx/k063RTEwraocqjM0mps67LZ+Lu77sDmpvcL8obQPUR1yvbGym7RCxW5FyiEc0ofI
bHNPbceDnGxY9xCt2pGYyRiIsyvzIVmniNS9WQWLng/KygSO5yl1+g0M9n1FYNVq0kg+0KMQcHsY
v9YlJsQC+6NqD7NHeSjwHwMyGzDd71pirawBPfxcAXhFnLtW+rZ0Eye4GwmJ6ISyc/zyynEyBjRl
fUAdHnIKhIGLrxqu0CCx/8vC3BA49CmrVaKs1JcK5AYkwhC9x9Cfmf08YMk4zhbBw3j81kZvbOo4
WPeFfRWV9S5u/HY3s4jwuCHZ4W69nSzt66yVJzNgz6ahs0ZXua60+o0ZIWOj6mUegzU9znDVTJ1r
6NpzQZSBnxCdQJMJjLa6s1pISAES1Z5FoLIf6ZwUOP1sj4EgIYOTdV920QlP9FvSslFGuiwQt1s7
vtzjqp2jE/IBfPuNc6mdOdgKY3hMWbfM6RAoWQPB5b3AxA+MszaZsUmYW1v0oy+cnfW6iEJaseFU
rFVdlxfbVmzA+abY1k1NP1e7A5FOPifIJs1qn0H8+KuafQFyJ0sjtUpmk6O2of35RfftcVuTe8Pr
+1LHVbHKcQHQiMYsHROaDl8NTUwSm96S38OZdxoMfjaU4VXrUM1SDyASV4q1k3Wv5AqQDmFVrwR9
XshIaFxf8RO37f2TVkqwE8EUbpwCnQ+xC8C9YgxSfMsq17chzFgq37ISFa0SFZuiC3aTCezSYp8k
W2FFQsXdVBBoFSnx58Qqv5qYC/Uww+DkkzEaA9IG+XmnmcwQq76yDrNi7csWxw+bOLd2rkZuRC49
QUBac3FmA8dQ9i1B4I9saLiMFlALavejqkeZ67TlN1vJgzUzg+ehQCakVAjag1y+JCHJBWWgfFKr
zr+hPj6xmzeOfzIILA4j1BBUCPQq1PdAY7wYS7pxHanohGOUbvNafY9A/vce/b1tRRv7r+/Rp7f8
tfga/RnZV/DA36/SAquiBrpFMKb8Pk76MYQSxpIpCSCInZcJ4aLp/+MqrS7hOFAo5UJYWpzoPxSS
9m+0wX5P//knAyj5S7ucHrmpC8tADoFaAz7/0oD9oI600pa7gQiUi0YsadfSfVCN+c0fWLeJmcJj
1NUNrqRNPXESbcm7rm+dOlNuhNUrnDEWYLjbgPA5VGLaROx3o9VPZM1Z01dTof/AvSFbCUEWdkxo
+aoR9rwNGvhgDT24LXcMtqB6sLdQmoDTlYqzqTXxKS8T9WtQpRm0jbHcFCEe3wGx26rnhkECJf+u
Dht81SWi/lziMYNvy843g7U/DLl1iOOaC4le780QPUbTKdtOdF+ICqKyrGoU+A6BJlzFsKZNpyko
uF5b5ppCG0BGzmaaLfs3kAB9W0+IqJAykbeToGcH0L/SAcmsbRpeK+HX5XrGICTasblm4kPfYWrT
Z5pI052mPUVGE/GdTs5RFYQeapWbeAapqwvtNKkLNoQWAyqor000bKSN/MRoU+4cvYkC0x7x4VhD
dMgtxaRhE42k5jbqujErfXFb0tKzR5UtvcTxx8eiXIjdQREXONgzC90FZXKoCDUBp15wzaf9sUVZ
mNyMvXopSuAxTkKjEOUoD0rmOdrQSsl9Mixy4BRxzFyhhlNByqa1ZKuMhu0ReKjUC3eG6yBEK//O
5Gm3/XsQOgs73+d1DwC4KaKDLxX7FBkDjhpwyqeEDYp9Sls2LK0Ln9NlCwvZy4KaTW1oCLdDGfSc
aG2w9tn5aNdlLifFMfVDoobi6ZIu22TIfhnOpoc9or1MGfGIcDgs16htGM05lY7Sy329bL1i2YTB
A2LyZ1sW7NHGslE7NWl9o9nB85gGKPBRB+fLXLWi4xiu+0EYp94slcOkW8g19VS/Nt/TqGrOPbWB
caOjYk0wMcRpe6wrh8hQFtqlL8jKqSuTssigGaIU8H/rJYjbnrutHqafF+UF8CQN6N/YHIb/x96Z
LLeNtNv2VU7ceVYkemBwJgRbkRSpvpkgZEtG3/d4+rvgan5J5d+OOuMaO+QkgAQy8/v2XnuYt12d
r6wNOKmXMe0lkTqvqqgPZpRe5W175wntWBcW/h5VFJejCMcd/ao5/XPaCgMFS4ra5FZGnrey7bdG
DPswwQilW4cxAGSNRnNTDuPKJAmQa0Zamh2MNH2eOrE3lPCQgnJ1w9bwjplNNGRqFtq6DfwbUsN9
ENDJruIUGZc8JHS1F0UfovjjxLlQY/vFb3veQDM8DV0+01UpaommS124n65iJjsHnA3Ixpe0sknq
jhWX84YJ5KCFpEx1fA2RwJUdQg9fRbJEDzQoop3V6eThDG4P1GARNOzBiNq7s6Fwc5a+MztpM0md
3CTZFo0hjbhvRcnedGp3s4pWS9OV2dAflsGwN0TsRl33EpgaJ/RuVfuYKyPDPtdxdm3n6qsT8w6n
ifbWOOO1Dq5hmZbFcSyntYhR2fKMMXKFro77DccaoFgJY9pLv07jeNvP81GJox39pfOUc45gR2ZF
/o7z0NZKc0AvDJ8Y8irNhsuRxqCKtzHz2qWwKeRNYkPRdQv/3U0L4rHqYS2M2ROohl9Nm50mSmaO
a24cWKuxyE8ZMNJVJvON0iAEhut4VjkIhJ2/HQBpA3w4dChWxyR8KVt1McaDW/KKqIS7e/SxUdq5
XpO8Vclb7rXXA4bpyJbbUaKk6bNHo8T6B94H0fwqQ7Gke+oJV9hNDZeS8j+ZiMO1Pji3STSpSydJ
6kUOKzvVK9fxHGagx9bckmvbSb+N+C/4wq3J3XXrwKYhPZB+Uwc7JFRbkj8epdJQqrRvTLN4tIP6
2u/GqzZ9zcbirZQEzyQQNy0tXIdmsa69cRn7OgiQkXCm4EqrgmPeadcUbQGwNnPLEaksFXMpt8Lp
tnYt1jJIbiIjPzSGckeLgJR6p16YRrHyRLevZbvmVbysHXutaPUF2GQGLFd+wQ0bsnpJFxHWp65+
7dv8kf+KoGG4eWMNPYw3qVxaQQ/9qn+hZY8OTOyTJt+xucOaDna2q2ICbVgkgsIrXcKF0XOZ1kZt
uoe0zZ4bWs9jYe1g66+KQPfcvKm2mW3s0CXT4jAcvJzdY1/Jh7yikCIUcjMHqrYt985Z+VnDRt9g
dlqQArsrAin2Bf7LTkBNC62tPXgnT5t2mZ5edJ5yDOh3LrKWxKRkPBfeHEHZ0/m2r6LKOWjK8FSY
+GorZHGqY995lXlVc1LNauO6Hai62kp90yKC6goIWNQhFpmRHBLDv0AsJpH7+8dq/lBN+eMYN3u1
MjYFAeotAsFI6926nzc9GcGY2V1VjBeglfdC1YOT8JC++Yi8biB0DO6kNhcVrrSp7zmvxiw80Sv5
sndRk5JdiYl04XBmmBvkKrDCKKe2ESqvZorkrCkf4yrYSVU58b0NV7KK0XDWe2OaDWgJzKVJKk8B
4o+1o8W3adUkqCnjTawpZzD4EV0h5Hp5r60BPWw9ioC9KiCRTbnbwVew/N53lVFdxgme1SA7D765
ibyBAtj4Wgj8+HX00kB2m4mOvAEAnaLOWrWtv6og0biE+aKebvGSsEgMlNk6Yb92nbGuQ0ltxFqH
clghpeP7U0ec6odpPcCrHRt/XzXGLWnVrOwcTzMa1k0Yoy4Ht5Kp2CY4mSiYPiol3yWiOU60Guuq
+IrJFntxTeZ8Mhw7HR1hKln+3m1pf9D2/yhSwhbGDlFTkDzp8P8c57NNrOmrqmrDTJxkSnRyvMjj
awH97OeDfKzm/jkISCap6Wxt1U99/lCk6Ph1RZwG+0tF/HD7NOTffPIJuuAXI/1ow4v97q+R5l/y
bsObe/moTB4jqcRJ6rQdLGIgp11u3kftc5ibvwvI/6ul9od3j7cJqgdNFTTRH4dTqbnZXpL75048
N+2+9L9mydef37sfXRG7ZTbLDAMw6tMQnmkN0hmL4Ayujrp0O46rBJJ16m9CJL9q8wulzw+uSFcc
Di2IJumOz86t9zdwTuBWR9mEZ9izi1ArFy2xOfEvrumjmuj7fPgwyPzv755S7YnGMD0GiehKN9Vh
Zq///K796jLmf383QtdMlA4QMZyr4ohhxI0BHZFe/vNBZgHff6QEf7+MT4+miIHXdmkdngehLXDf
O+GZhCI+cE8GfQCKhIDVfz7ijy5LlTRn4Nlj4/5siIxRD4YZXYazVV4RukExemd53/75GAgJTVpD
zAOK8B9vnWdowrS7KjpndYADZWll8JuSu58P8qNbh2oTJTC5uJb6WW2U94FlhSHBkFXxlJlY6jh7
8DFwPHBmex0Yfu9d/XzEeU59fljvR/z0sOiLwKVQxugsUWiDwAVE9ouPgfLx6RjYHmhk6XBFEJaA
sPps4a9zPYiDQUnP0QHjwI7F85i7xsq4Cq4NF9TnmvLy+udX9XHI36fg+6v69L0LOiJyG6xH587E
iE4PXyWlQc23Px/lx/cOwYxk5TTQ3n2cEuZEjEaD2/4MoNRVCXO3m1/cu/nuf346Om4Sm4oIdt/P
E7sA86yMtYjOFkff0VbZbT6H0P79KPrFtfzojr0f6dMHjhNxXiENiM6K8RbYV4Z3U06/+Lz9eAjA
fuB5eZOsT1MtVOLO1ic/PmfZycABPhBJoLbmL5a6H71CTLa/Rvn06OOqC5rRZ5Qw/poIgBtiVelr
A5Bp3JxFvEmMXzyjv10W0mJQxKQ8sxQpsBA/zgLV8awitfLk3HSbsnruTcye1/9won0agjLb+892
RjiuZgZlcu4nKK2CQLToD1zbf12y/zaXvw+hEbeFxNuhzvZxiGgYcKpx0jrXyVcx7RDb/OK5/G0q
MwAqNowHBoU3/PcfB+DTaaEMndIz+7y0NdAf7UKQUbQnv9+rf9UNs0z0J1VZEC68j39TIPJHf1Zk
0f7PcYNzeA6SZQSH78QNChIGCxCdClDgd7T9nxVZhT+y4K4YtIFwFDD7/yjIEskOahs0jQao3v6e
CfQPirIzSPTdp26WNqBbRj6hKGj1od6pH+dHmZd6YwdRcC5bKhfbMu4FfSPrpBDBglzKF3PsH9j4
3qwWRNZKB3QZcTvLEeRGtbZlqjQ3van4zrferrcEn2jeC37eSCIszhKY3ZoO8x6l8kjUISgM/6wj
NMbRXepB0blKi54A0q0xEfxBKLkHvcnKLGK8u5E2KAc+VALjohpbiwCWigi3rfWdo5lEBlnYA8rg
belXTkSaQ01nteyTCuDuTOFsycmxVj6MUnMR2+ZSIq8QbwZmn82/U//3hgRfq59N/R/2Ivibv2Y+
NksK/nx8VApAPOn/zHxeChQ1bFIAJhJxO8Pp/5j5Gg0H2BpodmEx4nyZCY1/9iKs3+hp0AYG/uCA
XPxnrEXN4c37OPdt5LcmLjYIEJDrrfnf323L64nltzVa85KG83QoEaQXVJ7IANKXYvA7fIOT18Jn
EsRXJku7gR1KMT3FOt2G0ffioUyOqGIkDmywy6blu3Q8hU4piHRuSipoWCjBT71BX73Hf+0/9G0q
ChrOvi7SRQy9sNjVmObB2neGOVy1kUX+diByf40vXbjtkD2okhIhPZstvg0b8GjXwFuFKIX5O+U8
JOq118rbKFOPVUaUEPEMS2+U1/jfMEYo5NTkdJ2LPN1npXdQ+uF+hPADORHpaFGkhD3tkFtSOfIL
dRGaUejGVkPjdLB67EFUCVrg8AucfSAInLMi8cUkNMZFWxPqPlCbYOdZ4GXDuUPlQh2aYRm23WND
BXuh+Mk+DaVB/XA813k2rnuzA5DVOqB3urKBujoNy5gEJDIVs2k1GhQ80IGtIORhIWnplvZ29yr0
YZ+IEOsnvQg39ZTXYSBXvTXqNezIbWhQCyT//RDZauGGVXXfGogLorI/gDZu3S7syNzLtRuB1LS0
WnXtxTD3RUoOVeUVO/bJ/mLQ88tIza/LsnfZWexD7LIBUYqLDiGoYpWrsU2+6CPRh1XQLRuN7k4S
E7Gh4+gt/Asd00xV2CbkfXyy9Ggi9MN5vLZHSyAfJcleIE6Nkwp6GzRDxfcfWsTMnASdcKONWrgU
pn/mcwbhy2lcpWwuZlzGopTVg5/P/d7Y2I+jctP4w8ockg7LP2GtWXTtZ90hNLRlbKEJMs0pXHmE
Vy0K3JLbKvYCVw7OWRq5tbJL7S1PlHqrIKvHLZxfGkrWbAJyyjMtvmOrfZ9G5SIvypMICgqSTqxC
seXbaifROkrS+96ylzOns5XakywgN1hIK7s+uRliY5f50H7NuWqNo8lwxzrqmOhqsIdMpyw1Z5Lb
oO8fMtZDUtCah8Hr7xW9vtVrrKt+NW2ywDlFtQErgKaJ0XyhTZ1B/KR011pxsSxjBVSpki61pr3x
IszLeaS0VEb9nV/r/rZsyuvWnJ6ouT+XBtrtIRwjGvthuYo6XXF12d51IRVphfCxZW4GF0LkF9Jy
XjIU57CYS9VVc+WGk+46rPTbopYboeXnHrIAm2btBr2hvbQDidGWRG4IJ8fQKoRL0u96CBM6cFa2
yZTxJfWnYRuP/rbtKh3lgu24mUANq6VJjrsne4oyJOQARhB6DZO9d+Rog46nbCen6hCaiLl6i0mq
YqQFSEuOkujXST2eFEWnwh6Q5F5BYrCsO6rJwQXu6mRlKsNbHDrXkY5QbwbjU6Ik6q6exm89DppF
1wE49HxVdzlToYCvZ4KjBdXMS9obQGVMHaC0C3gvORMgHKnu54ar5wQ/+MOLGTTZqjGzbDWYDhrf
8ggXBq3HgLd8IESpol3oGgSyAkj6VvX63s/D7QhfObN8FQtCubM0mKLFoOxlVXZrexDdkjMIRX9V
3/nNHHoZ8SlR1OioQHockT6QF7UHkks52dunSbQLmvLGC8pvzeDUy6yvDmPunUxR3BZsX2iUog+W
lHbhoPLdq0KqymjtVlbezsFY+UOWN1inenI5EmzChtdXqx7qJfq4/t6pGyIwc8E7ndGjysL4adAa
jddxWMdtK2ELajkOdRX+54joqX/rq5FUMwOXfTbq+8BMn4aRO6o41MpxzMHfzO8r0Gwu2WT3UAPe
Ar8x6JpYlKI1CvJ1/tVRdeAf8lunMBmQfN8WFQ8MZJi2NJKGEGU/K9dlap27CHOyhqlN+EiUkqS7
pO90zaXSpg5OU6pzzNJnelonyN9IrAOyWA1lnNy1eUwzDNHLTu+NG7XwHgML5GKVhG9pT7Xe03vU
8RxutnXc3WkZ8i7qexMNsaqjqfHvLun3XRJ785/ukpo3ELA/OCPwd3/ulOBaIdrgfE69Yd4ovdsp
oY2GK8350DRNQ36Pav5zp2SSuuNgD54Vzu9OCJrxG6AMsnio06rgrtR/lP9JnOjnbRJJ0UhiOXXg
LJ9xWR+3SWmR6NSxbfMy1aZuTWo57kFpPVmkNuVW+6A24IymKw9NploqK5WMp7bx77w59InuNkpl
WisleVAYIMiG0vr4Lp3DopQ5NmokP8psUFvg4N8VJEtJP+ND0eYIQSrPDeb4KTgNz2IOpFLmaCpt
DqniM+etJ3Kr+hC1oedXF1lPGTrSgoeU3lw2Ok8T/buksCsX193LGMVXTqC9VKbyOHToLM1mODYw
ctwR2eSyKKN92yKKMMjReBil/YwqM9xnheKtlJ60GllEd3GbPMvRmnZ6ShOWsEl0FNN2KtXnrk4v
UVC7o2mhNt7Ek1yVDsBEI+rv2iB8skOx7WX+UFfCv7DUAtyV7qZZd6lEkFqT8XIYw8vZeYOxFV5O
GLzmeCvYPRIlYPaXzmwyyUN1p5NsQuYWUjhAzjcz/5AedxM/lRh5F/zETV1PNMxRspGNWONwQVgX
RyrdN91bIJyut2hmM9fDn4yv9GCmeb/NG6sDgzizoyJ65ObBlHTydTNgX5Mk2zJPXit6Q8tGrTHP
VHJTmVNA4mN7Hm1nKyOWJ+l12SbI6HKHCEEI2OHZ05yFQEbxGezVNGJ2lpRV7WmZ09UaTPS9dmsd
6L+dksK5TAt9aUYkheZjdOj9OU3bIkN1IshYp2eeSKMj+3Q2gNAHd82esKAkhsqaWDWi27BJXRZi
JltISGKTTmQjWS9oK3b+DJ9oa1rUQDxmZdBVb5mkBs26+FL7OqpR6epldJ0p7JkDnpwotDuipRZl
mlQrKmn2oRQKMRf5sYiG5y4d7oO6/lKUNiCJfpzjokyWS/JNyftmYxJHza4bm3zZwRFvQ47Pk80a
EAbplVfrmht3w5bzcr6uOHAs8C31izgnjDUkUNJCugBQIy+Kk05Kc4zzzlASmvfsp6CF0nJPtJto
yp6BrO8bpT/mEycTJD4XXt0cZJrv1BSEdCKLnd3ZX6La3zmBvzF1wmpM+KB9Hd4Urbij67ST2RxG
pL/lprmLpX/CJPSc1ckdrmRu6tQfdI0IUGBqbQfshNb1VZJ2G8IWDnprLrOp3xZOvlPm+t6oc/wO
Lnwd5UI1avsC4G5fy7MkCWPdThV7juaxt9iz1PrEtqo5FS3q83GyLipHvTbCYh+HKKbjEUF7krY7
0i5OuqyOfmGhSejQK5EaggLqps7rB5bEvTdExzbQl4E/XmcywdjGSx8nwZra2YMfWxvDz7epGdq7
0cg2ZtcHzI7mqJGv6XLevNKRUHDKvEpFh3dOEtHeVrvOkY9yAACKTjtZOmp73QfGoa2AmwCVRms7
pY+UIrYWNIFibJbqQIRYi85IS8znycZ9LfpV47BNC7unDBRKbchvEwLxBZmVqwmPVcghmKPdJLL0
WsXN6iZ2n6hrOzf49g2adgHHC/y5mewdvyWZPN4R8NcsBCLqIAhOepfsPX/sF/Sojz2q+1XoZF+6
EF8BeuVLIZ1NmTuXFepVlMLDOi0lDARDuQ+V9jAAWNBiAfgmupnmR4gn9guODN5GfwUiZa/44mGQ
3UnDqi/jYRmYVr4i0eJFFRyDwsJHo1KyA294FpVirLPWJ/zJTp/xtRxHh+NvE1bbOI820Mr6ZW0q
9whPLkqiQ4MgWhpEjXY4PF1Vv7X8Fsrt9CVKrJvJaPxDZpTFTvredZFmRzEjjLwyWemT8YyMdmOp
3kLX8ApGDQT0vhrULWnMvMv+W8wOkVpRLvcY6Q+4eQEVKIWxlqG2sUqgBkyKAp8re3vTl9s6bR/r
PrwpOeqPrX/rVfU2Exxth96+zwiz4ppv/TF5aMqg2w36mRSuZSQJVIrAAjbpsDH0/NQ3/m0op3pp
m91WAORtJpswZvNqSpRt5TvcGuUkyipbBOhOula9IX/RRgeL9N3GfEKwVX9VaOaxTljvV0ktVHJG
+jK8N9Kw4eNvWns1QyKWkuW0DkpzkZZo4EK74+2kRoHYkVhVLmkciy0bxo3lZ84Zx6WNTosAt0mE
sLO7Ehxfh/Wxa9MvyN5XuplFa1YYpHC4m5eFimobSZ6RN1svEOFymF0Veed0F1EykDInxm9ZRZYK
b/EiHsEgaxFxc0TG2CsjSR663Fc5sZsVehWsfkpQW2KRRiaK/tSHkNcUp6xUmscIRXZAQlwl1q3d
G1d1n00IPCYkjj1+qnDRQYVdFf1E3I8iDqgoLwAQnFU7XutDtLLU6T4tvWu/JJanVFGAamTKJXa7
ypTy0euNaJZRrCqlhmEbY0mBVrfSmuZLB21Oie0n3dOOXY+kD8sixPl1A1EBuvctep5xaVvBC1/W
e+Irt2hQT9IY3rxI26cTt8kBHslEyt1aEPY5GXsrTEEqJho75HQZ4XYUBTqYliWa2iQypAr7EoWO
JM6vG2KjFrgRd4VvHowh3CoVbP+42KUOsN9cxkvCk0g+j7Qrp09vID+QhjDCDs+y2wxgM6WJeM+h
cyelOJKl6rIV2qhDuWs8ZyPiYOdb5d4vmgdT1/ZJplxUGiutZhNOUHzlYLyKYv9q8NgpjMiSJi9Y
VZyGjbJ5SwPnILLMrZl0A+ETrZN8NTVJmoGT7XIZXmMaW5lq6Do69S0tNbfBIG/qWMx2LCFckjYW
o+WvoIOvPfijzoysap163UTKNm3VRzpNbhIpw9rAa6ThtGRrAXciS0q+7vFjopGaqBj+oq9U8IMU
fskPhoEe3TuOt9Hs6Sw7ECRwCW/HXllrUfGQUwfk5Ax1UHThq1flnTtEoC6bQLvsDXnp+drzIBtz
RVdjpXsWQdnhzgmls/Z9Ikvi6a0YjcumULjiHimlqTJZ/Lw3qCxR4QrGQll5o2mfchL6Mp16QkKt
OGjkVaKLQ9JAtBK+tq5r9KieEeASr9Gm4IJ5MnpEnw5fGiQ8w2EYbJR3ff4wGNNVIcwnVY28dRGW
jxI11UKa7Tom1wi9DVdte8oWIwS0KvSBXe4EW79KItco4mOBRDPGTnISarUvFJ9YbrR7y7JKOSkO
NVtE/C04vL+NGNmUrrzxySfakKm+o2YQgZJvIVLMq7ahPw4KL1okQWFXAzK6cgQyE4eXeJ1dPdKD
nRVM9aFAmoXhX3tA1uxf9JV35dTJE3JbfTu/7mRs0Agnln1Ni097soPmJiv0K+qI4cHRMvJoi51f
yFvVZ0eTGxK9X0shI8foEx9KX25aC9CIb6TfWhsfF7E8HGbt27jJL0JO+DHlwA7K66pWm8dRKa+d
oZzBedZlpPiXKRZ6zAzjHgDYfZk4T/qgXSN/yfeGRkJXC9JsrTb605Q6O4fQBjeSITWYjv9YlMoa
Fxw+/EzvthFmOEpJBasjTiip3QxKpHKMqCqqtaSk6CqlOM0UK1UJPfK93534zr83jv8na9Mz+SFN
/b//j4PduzrzDDMBLmzCXWKNR2H/nZj0rs6shlIOqpqFp6ig85Yd62lYOPrNzwf51Oj7YxBYSRDG
5iTWT8Xs2CNYR9R1eJLjTmRHCTdG6LdNf/vzYTiJ/v1aLFpZOq0jCl6fusmelA6nAMnGXf3W53dC
+4UC7Af/P5V/6GVAzLhdn+9V7Yxmjis2OWU9E21rey//+PeD71a5Q9yo2djw8TDrW3OB1ihh4HLu
wPH5ByDtvzZ0Pwmkfn8M7+7Pp8MyeSkK5Xvuj55uROrGEAmspU69/S2Jlj+/lB8MNcc0zP1dAyGE
8+lRJDb1wh6z10lGW+R4jVwUFFJ1l2VYFL9oI88/+50iYr6sD49lnuLvprBUwrSzzCQ5FcQ51+zo
XF4tvqljt/7nF/X++X+6qMyKHFRsvw9EVZxgKti4rCPzUlz8Yq794L3EhYIM0GZ1nMltHy9KMzI1
Z+HNTrW29pKXblgZ3tefX86PpvO7IT5Pt6k22CsZMjtl9kvkPeni/zCdZ+IorWL0Ksb32s2754KR
0Wh0oeJA4wtIATcZ/w8fLzpk0tSo/qiaqX5qEGeC2OHGVPLTZL301mU7d3yaX3y7fjSTmcQ0u3VI
OMrMwHs/u5wAnNpI7t4JgTNWi7njYlx1GHBplWm/mMk/GMuWXIaqWDaNxs/fyQAOl+ZERnYK5jP1
ikwPMnOtkpr6Rr3+/vD/1UTMytL/XvK8fCmYxX+TRPA3f5U7iTdlpWIBQWyno+v7T2NYVcnnM6Es
oOuZJZ+8k3+WO+3fkFDA+qVKShnyO4Xhz8aw/ZsykxUJuzCwsUlCVv+BJkKT80fmP187RBFzTZWv
EDYpes1gOz/Ox6qsU90gueNUFDVib7YYi8oBkVYY450SlRtvBvf3SolPtP0iWw/+zADQd9D3teEl
dKoEzGi8zsZ4NCYk2AaGFBWmNE2m8GSGyXr07LNMfPDbCCBWJWaHeHCOvQZFLM03tu9s20jlQIHp
1Dapo1Y+UILG7G9MI2/Xjaa8CTPbY/VDS9rp/tEyMaOKIvYWdmmsRpVmA7idDXnkO2ngHS1U+94q
tDMb/5PhIHtvq6xDpt8l97E5brwhxupsOFdJ5N8QG+pmBq2u0cA35idkX4+N/tbnfnScprZ4yRrG
GY1uMwnSsLXWd4XJ9l/Ecu0PCiWfpA8ohoSywaNSXLTSj1cqSAq4UJazBAjphgm87TL54hMu1Iz8
9KKrN21ZoUPPiYoaJhovliQtro+3YLBWg98AA6iDZaUnyo4MvD08jvBCEcaFR62XNCb4AV5MRTEm
N8zpzZtSCU2orxXk8Qy+k+9U+slOzF3W087BKwyXqDaSHeW5S6LlcaJljVs33nPt27eRwDMRCm2r
j94bu5RskWIlsB0zXdaUdBE0wokSur7NAw9wf5zKW2qhOEEGY8cZbljqfnENeWaLk81yAwNjkj/V
pZtDoETh1Ul4PkQIFhGoCI4DqykIx1Xp0Ucz/PhrpXBA60qADY2Y1GunBIw/GTE0XDvcCKDHS9Eo
ct310on53Kspljcv25mtMLaIXXq3F3a8K2wDF7yOjEbXCfhTrWjT5EZSbqvaz70bu7fFhWIGr77I
i5Xtxc7FRF6CqyTVDrbiLeVaOqKNutUFWe58/1d10BqrDme43WX5PrOrY12n3/IBcIg+9Xs5dI9F
TXmIBvR9q8JtD9FjuJ1XPHa1LXE2T4c2Gw5pKnW3sqOrqbE7N899IsOMIw1YXglx3/SKdHUSCgnO
4Ff7+smq/U1rY18LacXjKcwXTlxvUEkcEhOPp3Sa56nwTp2M74DoI3GDkeWrJV3pkbJwpJThqiIN
ex0GGQFe8THwhTskfrCSjnPMEmfbsEC7vSVeQy+8y8VYur7wg0WkylctLO672F6KmRtQ4bp96Spj
JRTx1OmUNfoGuiYcf1wcZnxlxvoz0td9rViv1lTvOXpfTgqd0HDSF3VunIY8V49ZlW4SSX2rsMy9
NlQuCWPAFNXguvMlOPxwfFat21is9NHeF2G4dmAqkAIK5z8jCins4Jg1cXKF6VXQrK6eCtFcR0RH
0mGezgH8AtfUmqXWe8s0jFZCmNtpdsDClsYKV+HeoFW7SALnaDkOVrj4hBTLbXWeuoq3pbMGMj/S
6dkxu2bdpJVrIgkzcAMmIvLxtpeHtp92ThF+wfZIWpqiQNXqnUURRjdNYnxxoDAs26GmYlpa975o
MldJPV7iPBjAnjSrtORbuHCmZNjUmTqmv/sF/l1xVTbkP1lx37qX1x+tufzVX2uuJFIcbw3Ob7Zx
KP3erbnKbwBdJRYLnaw3azZ1/Lnmwi1WTROBIOrAGaHPqfLPNdfh/zPQDjp4zdkh/qMmo6Z9PGB8
X3I5ThoOxxg6nfyKj0suMXOFZnjheAqzszZaLB0e1e6BnOhhUvuFHNVy4ajZwZ6Sa3vUv4xFIlwL
UQ0U84TFK6yhoTXORR07J01yWhiE+QVa0zFpnftpKu+0PvuGe2oNjrhYhLgikgI6r12bqksLfCPV
9IBZC5uY1zm4lKkuSUhCCccvmnDxvemb01rjZLpQ8N6prOaLXDUe44RpPk5fhEdSLp/RbV+2d3HY
nCtHvwyp82xQL9+k8UDS6uBfel1zkfcdnCVR7xWbMuUArj0dcq55WkZksZZ2u2ttyBGm4+ElzdZZ
IB7agpIcazpa/0uOfesJqNASlB94jgzW8dS3S2Qu69LGmK5BG1R05RVh0amOFXPhh+V4M4kUM6cH
3L2ogfgMrH+RFrJw62g8MxERbmo8pROhlGbvWashlMmFlYfOsuyVGjUciSVWHi2BkNBbnFM1R3Ym
vTMtNAX9CAZSaoLGPdoOuPc+6hkKYy2L9qIF1gpIxKQzeaf0PaUVDOsloaNlI4NVEjVdRffTj1hu
Aj/Rl15O168kLp76+iqux41Mhu3Ud+aqxV27iHx/M0i9c60J9qyHBVO3UJHizX4rIuOYyNpZ4LZ5
nnR2a3iHKPB57V2TZc8h5lTPwKZOypKhExjetkQRWxFl2Gybq1KsgrgwUHp1R0fmHNxpZgWBfBh1
8yIt6C6mxvgCLKq801NMpanOCt+BBul3KFg3QxR56NA8dHGht8WqAmmp1PZjGysLR+DJHAUklCm1
70WHWdksxbp3VBAHHYo+dEC21+8mh+B2mRcm6JAM/uUcRVIWmzAEnyOt6ZypHglHGPwEAv6qau8n
KvGJoX7LNe4ZH/hHadP69uI7vKJPflqdhwD9x9DY6MSmx7rKoD4h6KGBZrkJHaRsaC7SlohiNZoe
O9zQVNVfmjFcAVfZo5taKmHxZIZ9s/Q0WmOxpNidVMkty8VdwMF2UbR6zU+L9+AKVgWQmUVjPZUO
heeqNY9VYV1Pgb6Rmveg4EbfyBEXfds+G7Z/TXrF2lKyEw6901BIh3dsUhHwoS4szewwxd2lqvnr
OHuNUYe1VPRWde9t8rCXCyfRUYIZ4zmE829LsLwOAbiMXT9OBGu6nqm+pJ6XuYaMG1fWOiGMvooE
arw1JzYNQ55YC62ybgGs7nGbPk12cEyc4UpTCbqRMaCk0nn1UrlNHZtpBMWLPgoT0JsNysPKi9Q3
A8A5L5RyyzR+tBpUywpZSU2Iy9XRXp1prFaR6M+5R8snrRXdRXtFTrFHjk1iBrS/G/opRjwkZ4KI
rmOwmXMpmjzTjojEdFRAnZrOl8FrXsghOntKhWASIPSy7iXSxbF02NYY+8Ku9fOkwcMhTCO7QlIZ
3RSZ8tUbNZWOw3Q35flBm/wvCl2CNmnHbeo5YtXE6mXQ+NGiLoIaTzctHCdu3vLCmsB6ExVWxf+f
vTNbbttYu/atfDeAFNCN8ZQEJ1EUNUvWCcqWJczzjKv/n7bjxHEc7z/nOdhVu5LQskii+x3Welal
fP81F3vn8Q5gkuUsypp1YDaXi+EcO2FcxL1xiKLutmHThEtaHuzFvJp67Vjm/JZxWvsQaXS2P5pJ
vm7oJ1EOxcgxv07B/rvy1Q39z1f+uflI3P1P2mxe9e3KJ+veVFJqlHuuaUBE/PPKJ6uAS8AS3O4u
U5fvAwnkb+iGbGwHQGTQ/Fh04N+ufKnS92z+xx+rgnjEv2mzUQ790GbTrtOwo3gC04jzzv1h7FPb
pHGMjh6cSFOLNnLJUg9DgBcctanWj4XTDsDL9Ll/MZPoIg7mD25oLIAPk1c5kIcLGnl0gMgiTtjU
kswuvQKtPiUxpSqK7fIRNDHZwcBw2lDpR+iQSccQHNqy+WgSjvzW9XrQbEVhcSG19AEFq7iC83Eb
IfCuN13WkliVNeawrZsEGgRiXo8GBF3llwT6NK6AoSUqmH5qmneN2FKeacSMVhyw+SbHPnAJpLKV
ZFaTtHuQONi1zSHa8QanO6viaimZGeg01uONIZfLaPCUd+rSLLODEUaHiXXE2rIb6Ch0u+uyHUi0
as3osjLtnV5p1wnP/G0VuMeuirjMQsqQkFXIZdGWxL1rIM5mO0GMXGmJ79T9eeras5ZOADPQbKxm
1q+cEeMGUJztcTR1hKDEcm7eU9ndxZl+xxwnt1jRdMW1VhNpKE3kqXW1DSs7ei4JkHU6dx2QGYAn
HDCuLKN3erZkLSr2hKJ0WQ+SBzjL/E6zrXFbudwOTg3moaEVQgfr7SvIPxOKaTD3ju0Lo4jOQwgb
Oq5gPUs03t2klbf2yFIW+jAC+2Ylvb5YVYLxSaydjEVuBxv849xX5kPrkSvPvcdaNnO3zFjiFYUe
KPcF4mTlVIDde2YphsZ8AoRa2K7bGR3ad4/i9f/HwocHTlkTmQlQcDPL+msxm+jRqKdem1wJPaq2
MhvFR7J63fUIFPd3j/l/558ax//z+XedfXx9a35y/vGqb+cfqkqwVqb1u3JSjfn+YGHhvCKjBNsV
q6wvA8PvWh4s+1IZVvADs7LjVd/OP2VNYdAIRQsvOgEF3r85/zAq/XD+MWYkkYVAFuxhQnmP//o1
GeaRQYLpjOeObKC12aVP5TDfOuUwbDIvPOdGnbzyiBWreJb3CJIpnsHD3bG3ftcifYv200ROrCEu
cOsNoGc0IA5ij7gJPjUhU6cpc8Cs98Wt6WUhjUgZ7EbwdG6OFjyqnE+9jO/sYXmKGPCgq0AELSpz
PZE+vwc6dyHV8DN3lLraK7ZLJu74Wf7YGVBjkR4j4IZzm7io34LFPoGAe2DlRuefhp+T1j2ZrJJ1
czpHYbsvHYpDCrAbEen61nQl/gVzuJ4EOiM2M/bKEeAeYVmoOmlFu7aWdc+BbrL3Hytjb4D22nod
kV70Vu6mnyu5kSmsXBwVq1LmHJqVed94ULtmz++l3PTI91fAs+N1nM+HxSBAqisiF8XX8mh5nwGn
+42Y1BDrwhm6515fYmIvgUiZMoY7PtPf2QPJDtY0vw16eRgMZ+tIDRyVHj2GBoc8+WeIuFA2sI2n
yVJDKwfElkMUClT8snksNesTqtKjU6bINhbfBvVUt8ahD9IbMaMADC371uUdCmKokVrZbMcsu2pM
79aO9U/ptOgrYAuUibqhlJTjQy7MDwl7S85WQsUGeK1Vb+Dwn5wj4Ox7LUMeYy/6YzwkUAuLhNzO
4KGamiuEf8ewIfGyzbI3U4tepkG7ryTKsGi6JUpxq9vac68lr5g96DKteVg3FTjyRWmXRFu/O/N8
p/c4A2vTO/ExXY6JgyYBp5H5juZqEwh+nbFftpVDZI0w47sSca6duIzoQme3JI61aoryRRb2BwnL
e13M00cwqXy/DDSHsGdRRnUlmaHZZzI8n7xGEqUpoBFl9kVvz/vS7j4PGrRIEcl7i6FgyNGPPau+
NvSxw9IxTD4jrWjVaHPiaxHcrVm6ypyUPiYdb9JCk0tWCpAyMxe3nV1tyBcBUJQ3IF67oroIALJc
ib58nNoPWX2QPHMfcibl5VxjXAm5UZbOxHExRzfz2HiHIEXHWDrttDMVDVnvR3Pd10aCUSii/NWq
d2bFnYcaqu4ozaMgmTddntbLw/ClJ7aGyaVbDUkKuSsCSYeJzuQxNhPiXOmpgRUQfkaXPRXAXD3V
d7sJV3jh7TAh0ZJD0fbhpWQXKDUcFfqjhFTyQzlYCYwRHrcs4itdjB0RbwwaY3aHpKfkfuh6051b
MQEo0RVO0fJZ3b1Q41w/ZoagM0vo05yyYEL8XNhu5GOoQYXhXE0mCEwmEYvuPsVMJiLXAvHMrAIB
9yFmdtGgqsqYZWRxv61U/7ow5SgrhMOQUC/MqAivMiYhqWnf8e4au5oZSZvQpzIz8ZidNNKkegnG
T61tPpalfM51h9wX5i1JJhkL1MuiVJ6PRN6gFV6YXCJmuxrVwIbMJXKPo+xSZ5bDPxW4f7A5153F
iJSBj6jxo8v0fWYSVCXOY1XHJwq7T6Tjlms9d842syO7L3WCZSK5kow90NIwLNYD45M+Jbcusyc+
PIZQyTIyg3Ue8mEYeUJIn7VGF6QqMhtb9TqMuLCq0v6Qg4rng0fPoTFqI3FoVacU0zLhbGNsYFzo
tFLwui+hH0IEUl1WNtrk/Qy5B3QWSHjvuAmRssYCh7V706Kl25ZenWy73otx75H4pPq5QXV2ghZv
CYOP8H0vI1o/TfWAxjS/aqornKtpWjcjyt3WZJ8BVtB3wvp1RKmAgJTtCU3bQ+zax6iqXoEwd2uY
afk94/29VogH8HD5Oqj4NOB0bxlr6L4bUF7Z44GkrsAP7J5oQG6HqsPYMjLxzjO+a2guKdsyPSQx
pNGNmT4xC4sN7UgLe6trvReRE45w+lII/FcRqQLhnyui23h4Q8j3+SdNoXrht6LIMH9TS3ZCynWT
wS6rzW81Ee2izaCX2SsdGTvW78bAkEP5+tH4sRI1Vc/2Z00kf4MuABmfRuB3dOi/WL1+Ia18v3nF
ymLTkuJ5t21CNX8E/kSiQC3XS7ysZV1XzqWWwTsDz2vqba77yBLTs9cLmSJRDqhDEJsRc44v0uFp
JQQCjF927stag6M+aQfLKuSpT7XZH0VbHBl+5HdcvOO5n8zqsoi78rULu/FC5GN6Zxoj2R9lgkOi
m5y3QMRs+AjT2hpJAyXQgSn6QvXCrEobeHyasVpRV+1SYRCuBrH900AX8q7JeLkVrR33ANoKCMOz
kYGL9mg+7NqfRCK4zxMcC5GTXud5H9wLeEO3faVl0Z2eWORPYcwz6uXAQo4ZJ4B8l9w1wylCwQ/s
8d8yyqK3byJ/Ht1y/ggZb7hpGsNlNFY2ghnqAsXwCv5dQop6XCcPWrJYaqqaOs56EnbdoL+UGNis
Aa4JBjd5MIe82yyUvb6zML2DqOZ2Fdm1qjPWh8azjoNqmoMv/XOuWmngBHTVWq067DkupCSas00O
M9Jxzy8X83Yx2sHZC9Wol3TsXZJFF5UNQe5kYWI5uLUbD7dLwm5vbqxikeuIL+Z4yj3SnLWv/dh/
J4Ii0/zziXD38RX4JUKM8u99knrltyMBi5nOQweCBJLT1wf/25nAv3JtWqhv/4b9z7fVEM2QtE0Q
FDymHAFoLr7rk8jmY+IkEdh5Lkulf9Mn4fv/e5/kgnoBJKCDRvwbw0QmQ8E1PQGuzlz2w6yKtqhS
k02VqNH/1DEST1sJM9UcPoxJfqzaydvZuutwmcfxOpjD1g8K1wAebBOrwLOQz4WztvVYO+rd8tEK
xHJFPM3baNctRFPs4FUW3Mles0/FwPBmHmS9rSYi8RBfbpIweuyicTPqBRhJz73IO3GBif89nebH
MaKhMNNznSGON8Se2HBlQgZ4EeeyQjluYCmZZeazxiA3y6PFoIF9SxzzYbS1l3TQ3sZBgSAVH58k
kQmGYP4ZQDyMZF276nj+fTJ0cIqmKCoGz/40R/jrMC0bcL8HGiDAyn4/l49RXt4IO4TMiqnMmc1+
XffdsAkbMr9OYXyAxHpbtzYWluBtUZ6c4to2cG/IJr0q6AmWKXnKa7kKRPAaFdb9YEEm15P3OVSj
70zcuACL8XHhdhvClt15h6CqBynYZ1G2nTqYB7Una7+x57sc+6vfOaO5RwxAOkQW4a8qejqMkuSU
PGas1wYQE7TObn2zC/dpxGoh1+Supy25xQklODtZ3SQzPYARW4NvlYBrm1pJ7dmorVOEyGDQm9uy
nZAZI8HcsYc+0DvFfiO7GPdDYu37wJvTxyLUnPAk2iV/wm/OSC9josXbNyzrSWLKGqZ43BSW+96i
zJ6i4Rx1BFvTt1CqdF/KlgYK5Gfs3I6GcRsVQWwawdbC93J29HhatwuAg1DMxbYyx/KULyJ+QHLx
2ECe3kvbe0nJF8ZEV8FkNhPha1XPGHJ2771iPMgc1mUT9Ii60ZA0hvGg9YHh94zYN1OwFLthJNoo
N8lIcVqUf23Blk7nvZTtcJowB97zDUDyQxC2CjqYrouZvtntx+o+rIdPLVq/o5MKAkGS6K0yCK1c
zFnHT2RcaW4ZIFJCoZ5rlkFF2vX7pg+avcCYdFfbdQaA2CnuU4EHqjLIHxnM6r50O7/rbNqxnssj
jK39ZNPP9YGGrw0bGRDtGeOMR9KWbKZ1DvNgY8XYjpAVovuIA/uim/WPU1Ct62h8ZLtLsHZBLmYZ
Vokfmh7evcnUCPbwxpc0GUfsWHXgx25X7OBApK8pU8J9houG6AX3Ih2jaT+gL9k0nULfNwhEVrZF
uMAoDVJ0kJ+f3GG+armp2CWhLWXRyZOZD80W1u3kd6JoT5q7AA43Uvxl1rRs/qtQKRk5nlkx/OI+
KjmrPv79LlKv+uMuEkRBOVw41IC/6//+uIvkb9BBKUIFVJivpeufd5ELY8ZlcWFQ3KIr/MtdhJaP
P0upCilq5b+5i8wvO4k/C1SFuAPK5JnoJTBlA9TiQvxeqoq/LatSbK9nIbHXblWU8JoLsn9tkn4z
mOm00pXgRQuQviSG9xh0+CcCJYuxLOdTl2d3jhLMEN7t912HhAYtTa/phxZtTapENo2S2xCeQE+F
Bgea7MuoVDnssttjXteHekBzt8Rn2WkH/DynlnWEoZQ9vdL4DFAXOBbcfYH8Zxk130EO1I12uS4R
CKVKKZTF462Q3QdPaYgI8LiZU81Aaqvda0pnROA6ojakR2FgH7PkmXDfl1GJkxIruW2VXAl5JKoe
6wj/NdtgSd3NStqkV+Y5UmInHdXTgvppKPqj2wafK288xsJ+EUomZSrBVFgEJGsgoQqF9mFEU9Uq
cVUzl+pWA63fNo8x+qsQIrJa1tREF2UPExqtXom1iK/fq3T6Wcm4SHPD3Zue4qX62Cqh1xAQEzgq
8VekZGAFerBACcMaN3+YUYq1/fiSK+lYioZscutd90VUlhOPM1CLuoyW6sA6pwIBmoUSrVeStHnx
SEP0tnSzJ27nna7Eay0qtkLJ2QZ0bS76tlEJ3QhHfI4jZi2DEsER1vdYK1lcmnbPFjo5KgwYo0o5
h4IOJEBIrx5ekeIZ+QUqO4J9gL+gu2sDr1m1KPEEijxdSfNchwnFaBNjx27rcxE6d2Ew7/oU70xe
gswohQHySnujszkudrG1k+6Jf7YvSqyQ5uC6m1KAA42SDpRmkl16U35vX5YGAYIeljabGbgfySDy
nb59Zyq3T5wG+ywamK5vQrw06cno601V9sgIUgYZg9beGUOzo2f5YM7GDt8qdZNrHVsFvuhKQrmL
Ir/pk2je1i3C7m7J1sSWbObIoZOhcFynS0OYNVb1JA+6DTPRnQjLY0rKYeZhZk45s810vEiiLllH
zXzVeLz3ZnDscI4SQRyT/EBEb/MUFR3Eiy/JEGReOrcCmDmBEa4Kj9Arr75l50aiBDGWW8g921SL
CJsQwTtsk7eAsPR1VOLM0sEZO8X02NrNpy6FIFaV5Y0T4rmL0hsDuKmLz3LN9e1Xk8PN5gyUQToQ
NKu7MmRm8stVm9rBCimnBGP9BFgcxAZ3jEM6K5CAdcVMpCunrbTnj5Mt/HqaXpijIEacH/igyRFO
tMMca5dFTb5Kqh0IBSXUHP1ogisZoE+Sz7j8YOFOzDZnc2FG3z0ZdUMy5Rz6Ip+2Q46lTMbJpRMj
xWHTr8bDuxHBKylVfCCPnaIuTL0yZK4HDNexRoJbWjj+nLd+FHvPeaICn5vocqjYpS117G2n3O4h
EBV7r9avZOe9tiO6DkzM8+RUm9T0fFnNJyqsA40ltGqhN0cxjny2FgFi/b5vm1fM1OdkItohMe/1
OEQEOKMlSB3kLhYjoRRpp47aop4Mj8Bx/c7qg7eaBFLIWPmh80J33TrD3ggdIqxqa28Sehnoy8DA
Cu5DjP+VfnIdmf1pdIrjhMtxlRNSZYbuB1yHqw4hY4+aupn1HdIkpCPDky6qgyKg0y07mzTJOP+m
QltVdnkreyBM8dJgRQ8hYyX7jAOwioerwF7uaxLaatHdBKK/aGriimq0MJM3+0Syb2272UigASWr
Wh/k1cIpLLee1R31Ytm6mNHW3qwRvKV/yoJWrDrRv8iYlNxRWJKU0PDaoLivwvCG8KtL2HfDesHU
u7WX8UK3U2oVDO1pFdLba7F3kKHV77xoupaZBl5qvoZD+C7Fsi3yCh92t2kbV9sy2C3QBXfnuauu
O8d9mOI+WueWhf4st8jcSET2nAKr98NqeE/a/ojvk4im4kC+x2Xk4ePum/i2Z20r4ubdCudN3xvV
VTRN2zpZHlKDhBJrYNROpdkW1k2jBYiude+DZjdPUz0dxzyqVm2fE2NEAG9nREeBBTaayNMaw6PZ
dRzj5nyA6IrOF4UdXAE0Y+njkLHC9g2tIJJzAf7uYknM9PggLKWgHvPFZ1312Rxk788D4V0t6bHe
spwNqEgbyoXQD4WxnRrg1IFkj9GxaPO69ESFzHE5TyzCyvipTMQ1gY23oAmp/kuG7lH7arnC73Tv
AhfrubWnw0IQ2rpxmDoVVvEwzdpjNZX3WUxA2FhIv8piY+XO43lI8cybi3u3EOXiZ33S3zRkbWGc
dpK9qQzuNgNe6mCDJvZrFPg/us8EM7ofnAuM4WDZ2SgzpQIz/7U8aWvXMGdPemfjLl89W9vhul6T
MbP2Pt7ftic8l5ty3e3jS2tHGsa+3EYXVrhPTtF/A5ev0eKSeu8XBe7H4v9Wb2pu+PciV73yjyJX
/40Bp0WhK76MWhnP/lHkGvhf2DAz78A1CsLnz4ELuB+ktlSGxGT8Ffhj/wYHSFFCbcxsYBXtf1Pj
Sodq+a9fIk9Yhk4BrlQ5gqimH75E/WzxMLvalWMR5Zix/IwDmq7Mxpmr8CWpM+81BTRB0nXDmMUD
sQfsZIR6QuVV+sg6D4sCoqDgSNbIfcuVULiUWoFTYggqDGcfS4gqlV6fZsaPCD/cS3JJm40JfSWo
iFeFxpIrLAtxhLdMTeu1BbEFlcd6UAiXQOo3noK6jC6W/iZpnvTJeZ9Me9omY3WXi+TBMdQSK2Vj
02vo2nKvfjb7qvdjo/LzFKJaElYgLUptS6J6vzK0ZjemGqODgOU0J9UF2UNj7COpZ2ADakDzg8l8
qbJBm2+ScXCHLUkiI/E6ZdvRcteJXiG8NUxc8YAU0dR428qglB/aOd8I+nOs23IzWJww1PnXfTJ3
+KoBF5Yc/r2efO4chs50HwCAXGslu6tseBBt6bAFHL316PVsaubyzpmMdGXk4iUBHsG1g5MeWz7l
aDkc7aBtL2q9+AQRKGn8IotKfcM2l5mTnZvipk7DFCWUY/koUe71CImt06NmmtjnMI96LszykaTX
ElnSVF4y3prXmuNtCgdNdVgdiqy8ao12l9P4ZJ5zMVnBM7sEdo2pnEk1SLZcsfrBYH8I/qKdYTFM
wHdsfN96xoSXv8+TG3bxxcDCewMNjlwpI+DkH2V+xpd3zzodNXTlEMsBB8P8QsToFBwj/cLJaL4w
M4zRPS1ivtFbEIC63dYM1VhTN5V+F6IwCBR8YyEqqYbGocELYcZ1YyXOASDVLh36faTwHQMcj87N
z5MHtWoSRP5A+jBzPnnG+lFi9VCekicLJAhRi7uR2Q0AR3b+QEMm4CEVEJEGmEgDVCTu0CcoyggT
7mpNMYDQCATJNIywSAyoJBN4EltxSvjIk1XfJ28J+8uh4e+mzaG1kYpvYgM6wfe0k4BPRJMj7Oai
6PrsxE7vNleMlFnRUqRm3sX9+KnQ2k3e3jc9waWoVW9CMCsV13RRLRdArh51LxnJMwEJBZgFDiJx
YqBa4jZ9yRW7RXNsyFH0JRKsS6T4LoYivdQgX7zAIGkxZ6dhL2jgGX6x7hVMa8pW80ugMcK1SHPV
gWIpnEwYnUfwMnUzXkaW8Zgp7owuqPgViSYGOhOApkny4qpXrBq4958GRa/BoXLpKZ4NFrRjlvGf
AboZO4g3Y5MfXBA4g4p3UUycSdFxHMXJSb8gczD1E2z4BaQT6QqqAznzQwJmp7AQjDUKvKO1e6hC
H1qAPKNHwwGgJ5HuSwewJ+8hdpaMr6TRrzuQPk1YPc+K8SPUjHU07UsX/I9r1MSgKCJQ08jnGETQ
2DaEJsEMKl3zRgIRwkJ4IxRVaF6GkzVQlk0Ah4KicQ9eU+0jUESxmz4lIr0M9fbBIWFplSX6bQe8
SFTZKQJmlOr9U5qbd42iHOXgjsycR01vTiBLmXZTnoczBUcCIikT9ZEU1lu+JBelYihFwJTaACeY
oiv1IFdzURNLB6lhAMBUAmLSPOOoSchM9agdTEoqHWRT19SHHITTSO6St6SXEzzkLltuqIxQ5uX1
SQJ/miq+si4TxrzNHgLwUCnxcWZtHTqwUa1ZXURgpAwZPQ5tfGeBl2LhmK1I0dgOFlyJwf2UAqIy
FJFqAU0ViOZyBlVVKGZVC7wqKtNjDMxqAmqFNgliKusoo6z1dQL4yhzibQEICxrbMQaM9d/w7cvw
TdlUf12b+PFb+LPShBd+K00M+zfd5fL/3UerDD/fShP2w/hzlFfeAmb+xUH0bf7GZE63VNHyZ9Xy
TTMnGNqxMkblS2rMv61NfqYZNiUeYAxEJpZ3R1e7ou8M73GSRG0EregEGQEBiJXWbHDXvW2lF3mc
jxVunmFxmmEFkUxAsirm5a5H7BWiPrmU8JUJNS3WssPnp9cviZMZxjUWF0y6yYAAf9UOhXfOy265
CGWfxYe6m8U9kGvNOhit3mhkH9NH5YEMLtLZJltbpGQX38UOroTjEi5Z++oVoT2eaIQb64aiZjfY
RfaGNh/obBETVdubaOZ2ulp9el+2oF09dwczE9zny4J2YxMo0fNiOrganDrSj0KJopu6TiDJAjrc
RJNXr5u66Ta9PsdHq5vNyyBYKk4KAtM+9i0oXXZfAVoYx+RcR3XaX0fC+gjs4AX20GticwbDFGAk
YVtvVZe/2V5psDzKa/MzWD44aJCW6nA8FItubbtU60lYCO3VIHQ2amPaGxhiRzzJnOpPhsb83EvH
4HWir963shCHiBzbSy0VSAmNBk1c3dNBVVW9w1hdrhvm8/TnxbS23ArEQ8NB4SFN5MOtfBulLHnr
ge92+dHtPVJLgsY5UZQuh9RkHRcLaDYmsyBmHPmqCVVE8+wmqKORBTtF6leu9+aakbZzh2WfGRyp
LK53c4BSTGvzFNEVYF7ywZ5NYtL8dFyGFYr4XWl4EIm6ad1FzXiVygn3SMR+xMusyW/AF+DpqMQZ
P3N6h/hc3ha2Xbwlutlc5HVcPIEZRmgV14TNDcnXzu6/Fbb5S1HLHW7yj/+3zj42P9sb8NJv5xaL
asHBRQtkcSwoae4f5xZIAZomttDIXoANfI8UwCDhkiykw4F3lKL3u72B/RsnnRRwe3TJVhc3xr/Q
taAb/rGnclUjpNO4WUQ6wLj467nlGKGRZY1VEgWGmB/JnbIdkp41TdiyxBQahzFItxl1dJEXKD28
IvqQU2Pn3IUuV3RJ7e309YHYg/Oikcdt5jAEE6e8JJyvPCdx8zhTwbtehTSrVYtZrdsMVPlfyWTd
AsdRFf9l4txMIZ4gQveSSt9AuwLW5FqjvjEm/Qov+kBZYA67iEjWdWq59Hx6B0ORiMAlocszQrhT
oF+XoKRM161y39tj7msB5h9kuYDpMPkh8LL8SLHgh0F/GIwOUvi8GUXX+p1HQjWrd/CojfUKjzRa
Vzl/bu0h8e0HdryAGONVUCSvHsv1zRyAcu5zUuCyOToshRkcsgoqLFFDm7IAcqCTnnq0LG28hJxK
9zTkxdpskgfOBuwjWWdAT0jOrKfXVjIjJ16ogez+volre52l9QPY/nNV04tQh1+aExpIWQc9XWjR
+4WWVevR1ElbVMvutO5PVZUAXZjLbEvEKYta6wKMDOD04dZL0IEGI6K/ZTT2jmT+P6fx58GQp7BY
rhZBxGfvYMcnyfU5UxOvvlSe7+qSDG2mWQjS1yG8em3h4CnTgClsmUgsWAljJGEzi7Nv0mCOVhJ4
sy+WcFObubsdtfK1Fgilhd5imhs3Zq3tSj3Hax+fjaw/SsmOKjfbYz3wnQn69rqObbJ/wayt9WHu
NyZT5rYgvCDpd3UtT44VpdvOK7V1DSKXA7zw00rbNYl2nU5le1q4dPn0WBb1rn0rbHHyqkwBI4eJ
HoqYXMGaDCvIgvfC7Fp4dDpkGsLk27C9n/Dpb4ekOIVm8DLXhIpmBLqHrbR9q9MfzZpbWZIXasBL
muvO9t04vAlH49KYcn8Jp6u69T43pKiR19fyHrb2IawZvS22ddn17Tku21q7KUsnW97mKSMCNc+5
nKrHNAjZjzExbtlSnYo+rS6SzvtQppTkVvPZrWauVGwlS7gl+5xuarzwOm3b6OJYZtFVXJYXU9Je
kYt5PRSwIeFRsKMP+vFgB9b7Yms9uamjNHdxHzjUH8Ww3Al7OYV1A82brduW1Tg5ENLm55q7KmPg
AClgg1tzPy7yurE+tBqdet57DwWyb1gcx0Y0oCA76zAiSg2r5ZoR7D4YYlKprP6Gww4lPjRSzPgY
T7G6BHVwLeHBYu5iw+V2x7KPbx3DURqYuwUpOPDInnQ4xLEr0bCiNHOg9V5oSEK3s3grU3uHZQaY
fkY+hRARW6M5s0h74JsDDjlhACTMVU6eEAz3Z8cs3stG/5y7Av9CmT0uFFmWAUxkqmH6WpLORG8C
h9za6pPba/R8aXQCK8cxoevX7K14GJzaOI8ye5OLM20gWr31LZaG3J5u5ThXB1kML0aZb2tTf55j
54Tifuu1eeQTsQ35w2zNHR35UzHhM0ISg8No3g0B/Lmqufbi7KgzllhaTMJWHVwlWDV9CPt7sijU
ZNd6cPvA5ycPa+mZ94ZuiV1kIWFfaqNiQpFMm1oTp4nH4NopvVtrpv/PTHTV2QAAHqicUIngcSmR
9Tmdz+8aIw4G7+xBnY5qVN0dSTkrFpgbwyVl0nuNscW2nbxNeU+4B4CihkW26jL3GhkR6bKI7IMh
JYczUOaNZaTaGpJdVNdQQJPMQ+cIq4I/znWRGFsqMNUKryK6zJXdx8PR1Ixiwwc67y0x3U4FXWxe
RT5AfiQkLhscmIM8tk14mGApBxrqbozO1PvIdpwXZioxGG6AfZNpwRKbtlpU34kYpwWW1nUY2T3e
cGVHCNvXVLCW1FqCyy3CeYa6PoUtww8hqrvemi6RbCYoPupdDyPESqursWSHVhkjZOvpVp/LDRTw
eWsx6Slrbw9XY7yPlrnfjr14Sz1EKK3j3OSRwyJbTY/+6wK/doGsBH7dBW6xjr7G7evPOkFe/EdF
RdlEQeWauuXYBulk31VU8jfoTNQzygsKgw7p37dO0PnNE55jIv/841XfOkHkxYRWWS7wpn+f3vN3
TSBWYRO6PdGTEgiPWoR81wdama67SdAs56V7qt1gpaRH370xPzHxqT/hB6UHfwaUb1N4SnHyQ6eJ
asiupkoa55aIxkbfWlm8aq3Pw7D/9c/562/yRVHyl5/zw8qGHOYK8pFlnC0OKaO5HJ3Pv/4BoDh+
/Zv8MM8PjboQfcRvIiZnNZgPjvcO6WbtaWiphw0G4nU7fKhY08bXHalARvyWROBTr0V50xXwoPD1
10fbCgEFYVoyWenfsc/zJy//H2+FgQj1l+85X6zvP1XJMhpPi3ov5CZQJIjqqR/idWmY51EVV9RE
8fzuEHRR839dO/56Kvzj/kyJVv/2F8CSZ9k6Qh8L8+Zf/wIFDuOOdfB8poOLDbzDTXaZAiXr1nNl
1tXag8kFpNwl7WhqV1Y/3hpYNlgAlqCWdG1BvlMzSqzQaW+7UL8YkdA1uyx/Frm8GAMdmarQEuNh
knmyk6lH1E3gdqsiSWB/N4eKaTz05q3RzYyo5120nAc73uQhfhdE7cTb7BrifHJxDaWU3KfnFp8a
RRXYqpMkgLpJbX/AYipGuPKWBSYjW81J5ackPld1jQWNZQYKlHg21j1kcEfPN2O1n+vnNkEBSnBs
PRZHozNvkuSUTPluAJH4kFvkCclFbkrvvjNt36TETQaIZ1YcmsAta9fX3dzclGn2AQPxKs8x23pW
0Kpw9ctff5nl3xopzp3vHnzzh8dljPHVdlO7nPWd3AeH5bJ7kjsY3Od2ZVx2e+YiG9J01vNWri/o
y7elP33QDtSzO31nn+Jt8tVt8s9fmZ98Y74/JhiYff+VNbOsd3L1lS3TQ0mDNfoN+qltrf+P4+hn
38zvf84PB54b50sWMWI/a8Uqu58+1+Eaj4EpfDv4Hw/BD73q1xPp+4eANvv7X8njiWmkF4tzxIqP
kh+iEz3UaqSSp0M54zP49Wf6sxPw/7F3Hs2VW9mW/i9vDgW8iejXA5jrDW3STBAkk4T3Hr++P6Sk
ytQtFdkV/QY9qIkiFBIvrgHO2Wfvtb7FCRssj0lSIj3Gv14v07PRMFJFPg9Iz/L5tReuPr/A3y2A
v17g4rtjkGUQ5inLZzQZHZSVQXCYeX3xKb66yMUqa40WNRLz27PV7+dq1+p3iN4+/xx/tyX9+jku
lseJvRrbvCafidzD3QsWSefUiXxs/P2z/E93m47RW100xUf7v5ZXfivKqY6CsP3ff/3X5vd/D94L
96V9+cu/eIRet9N1915PN+9Nl/Knvz94y//5f/sf/0BN3k3l+3//18t3MqcZIrd19NbKVDM/rrD9
/t//9ccAn5/l8/JoV7xUZMz//Z/+ozgSyd4B6IxLaTE6LI2jP9vkdKI0U0eEYRDoozLC/1kcmb8p
1GgyqYYAjnFa8GD9LI7Qmv7xYj+0rX9+E1e/1yR8if9ySVKMZdH5WbvQi6fIstQlMEiFbkk59tcn
yiCXcxzVqT5PAqYkzhlE6eHMzs0YUGCYnyOVpTA0wpOu1Wv8Qtp1BYfGngPxRvHVm6Tu3gtoGvY4
htu4R2RlSCs0NodElh2hh+GfSwczRx0m4xTs1REcl3IQU3LnlC47odRd+YFxaEJhVUzCNULze2PK
HzT6GqZf0Zo1bfxKNHTybUKKXEgsqK2HylYzw2/ETjgE9aFKTU8dyTFEc5zGxdhg6SMzqXmt1RKZ
PsG9RsiBwCfy0np4taL26Fus8rXyrAT03Nt2l/s6cj9r36vVyQ/Dk4XyjtYWp5jy1MFKV4rqyBD2
ATXyJiT5wqLDIyT00qT4RFXm9R3C+mZ2Q7FHLNtchWF3DIbJ6QtzrYKgJ/vjVMvo36yPhjATL4NL
T5pIt5st88UfOK/p6kMc91uhsdxea8jsmtcCJt6snG29rG+nZgLuN0bnQDNw3BMqE+v3WpNt5qm5
ycz2NZdHNPn5CSPYodezjTZ3u6yeNl0FbTIoPzhCkuFHwIi/KMHUGyNEWWkK5aY10L+p6XBMOuSI
0sTo0E9elEK9sUrdCWGp2Gxb505oD4G8tFX6bT2TC2AIN7E1biXR/0Z/ERWG4uk5zZWKOAR/Cd4I
fbFylikhkrUBM25FNszEEbqI9BejR7RRVuPaLBGWBWPJ2JjmfjaMrzlVPB3HmpmL10zWwIijMet4
g9ku3LYFFMSzOs8jSj6SKpR1X+OssSTkF/3i4VjMHEXVpUg+y5ukaMtdrtcoHhbzh5TSXhu1uXf7
ifZEOkLTYgAjw6ya4xtZkjHoiVRqeEriHJQZzFTT4yPNTi7PsyMtJpS4JN+xXYwpnYFFhTgjDe3c
dBupU0W/ktXVV0jlmxdzC2UUBBn8LrBFRQ9B9cTcX76OzAlWcfwxLCYZS5DvBFwzham4uBnOs6yt
VFw1qGAHehQIDbDcLE0oE42uwKQ9PtaLNYf/F5NOydRHwbcTLf6dgtDFxdBT9k0L7wyTDxNecklK
9TUgIIruyqIWbKrObVTrFC2BNcYYf7cEjs+9imm3X8xEiWy+B6X1nE/yPUnR77z/EFeG2DjTYkVC
vBnY4WJP0nIk12BkSeaAukCLylXM6NzjaQLz+E0dp4/OEHcxnieiAYk9FAhzwQ0VzcQ5ZGl1YsRS
rbLFMiUv5qkCF1VehgSnQ+305LBX3E5VYptE6scBU6LbVNl3oVgoAeOwhIkE+SpOxq0vpOtYZLRu
zf3TXCDfJojhHInGa9iPr6Pak/A30tZDN4SdhkG2EabAT5nOyRWZOmWKlEGR134hP7ZEptgsU5AX
gLoGXUMRHT1OAfA7S1DfIr9C+0xKPfavV6Gr3UbG0Dj6Ioll/oOCYcaZQLvOcofxDMUinjDZUdsa
OWxd3oUIV1wxXtr4BF/ao+8/KotS1Kd5w/2lrCAB4xi3Bh7RKJngnfJY1gQl8/aUj0yEHNf7wULJ
oyRP6OoNWbUlHUfnvfU76F7nMaNRPs2dbWYKTUARblf/LRfFXTuYpD0JlgVqgJjLThwPSSjeDkG7
1/LwTpoM0gxj0prquLdNdVBcfRQOESxVLKnJfR3S34mQ2ripURIBGYZJvqqHJggdofBRp8DnI4iz
D7cq3qkw7VXGAKawJsyrxymG5jZvsmI1djLExYkxJ+HLhjSm11HBee3HFvw/XYys34sTbsfmr8XH
/8+1yLItf1qLMPqyX+rXvx9+8cd/ViOkKTN8VzFPY05ZOJ2/VCMipm5ZZIyFmk/FF/yzGtF+k8B4
WYapL+TsH96dP6sRTN064OsfY3ZR5mX/reHXZTFiISaQF185g3taRkux8kurRgnp7LVTpp7C7Hlu
TuP49MvX8kf582u8xt8M15ZwAkw+MMSA9mjGxYGl8xuVaJ+xO5Fw5LHpfHBYP6V+fKPV7QekPReF
IAlAKm5EpMRbgDybuoph3ZHHoQt6sS4GZZ0bNapGkpS7cKU25XeBpDVbtg48nDj62mSw5zA9S72k
JYCz20o5B1mDXHGEFxPwJTpaiE0TRug0N/YgaltExD4bgoiiJgt1INoRSRBqlH6v5NQHMSqRy9TI
lELwER5jGu6MKdS3LhyzVYsQnPUmrPaSBb43kMyzURoC07r60SI9ziMMgIVaVYereARVochFu5Jq
llYCFfd9HT1TqR00/NyWlU1k6vXVJs2LDZjrmSZ1dedrKVKz6Ghih0N0kD8LIqQGSR0/0EbCI1om
QgQhrdAqoAlvbw3aAwKSHqXCvCgKm7zsdm0pMprvpusxMXeAEekNEfgmtckOE8SLL/VwMpA8B5YA
USR6aYGE0dJV0fubm5SRnAB6AzkkVET5qUmCndUZG/jABzUnU6eW+2OqAM1Bx12X1UafaIAXKj6c
aG43c5Je1T7H7WYO920kPrEr06IR4p26hJ6kSCTlWWEfnZHLEWzqhM0Yep0ZbaeUslGLNYwJMQS1
CktMoSfPnWrh54XHLAJ/jvKW7K0g340Mziy1f1ALxSEQ7qQ3+lPTzuckUm/CjGZY52coLPpjONTb
Yhq2AZ5Zgr8Y4ljDJu3RxMnpLeEJJBnG6QO+wm+Sbzzofrcqan1nzhoKxfpZV1vS81qMJkrzVPDh
UUONMB3n7+Bll/mQA7rUVZLxUA40jLoqwD8zMTduTRwEquHbgW488xSsYN89Bb4f22PTxiuh67ht
qo+piDcmBE1VKZ+7WnwSBEKdDPIUEz+mwrIcUUtf58S/hvsy2+EUHJK4TtZSUCY4aQ268tDXSxwD
TIZi/G3ZqyVlFN8lAlJzNrSjOTb5LiIyGycr6ZOafhtb6mNXNsGKGCNQNOXy9MTDrSiRzNOVJvv0
wPSiYiAlSNrNaBJG1pGwvQeDveBilcaz0rK3IQn5mKJIaG9lIp5IqBZ1OCtW5Zuv0J56L0QNX1Cs
MPtws7r3G+CYAtUtirnoNNaRfqhKAqSoh2DJYZtwamGJdUuL0FVDBiwp3juvnTEb562f3BSYDxGm
dOIeXYxthhMGDcLHWqqPUi2bbd5RA0vKApCTq2YDFyP2gqg76FKAsC0p87U0a+D0Z4bl42LIUtPS
K9qqkO0sSs8GeIoEFWFzzew4cHy/fNPm6VvtKy9GUm1Y31DASKj1JUEgaFs4+BSvS4mr2YmuoUtJ
i+y20EC925Lhpw9dkt8MfT3AI9bPamRiS0GwGKuugk3BLcp8b1QGC6LEmzaG67xTAvCJy2h22gWV
v0mVJRs7dsq5PaSxwOgrPBKp+EDUE5XO0r3003U+JgAYkVk3UUtoFq5AqRUpidXIeC0HyiFwXQ2x
5dWQ3SVSNqx61K8KnlpsisyaSP1MqH6i+jibyUmRyw1kvGsJa4+TEsU1Zmh20Fe7LHlbWfI74qFo
hKYTgXeEO2dy5mA461KcHV3oTUObWaw53W4Q9eI5V1sk0JHwwSyWlIIOZQWXw/Jb6uoZWUCNQynB
NdTHYb/OOdGsWfrDB7/iCnKX3uUEJLg0ga1dBwRwx8QV57uGLMBQzG3HfMtWC+NOqwqqYhKzmEoC
w3In1cfsnVR3uj/dmbk2P85+Hjlph/1Q6wLJNghgbCeqpVIkGRWAVOEg7sKD2GvdYx3BJRzNKZoX
JyZjTDVsNypHDjsZ4BqYWY0Tq3jSe/TWAyW2gdemKc7iZOySaroX4R70EYSCogzvu1S+M7vK2o/T
2G8LAc134aeTU3bxgJ5AfFIYnrjKqFaPnV6S+1dkuOpCbnTC4hkZ+8qjjP7z1pe1ccV81nJiBGXe
59vzRV9MxZcAN4ZSwyKjCLTehfJFzjKmSEGcn9qEKMhx3mr6cD3Uzerzy1xOOf64Ds5hDa4oj/1l
EdAac5Yg8ztlaXoE633PqnRlZtkzyyXEk8niB5jSTT+Wq9RMNo0cQtuUbVPO96xUB9rVqOeSa4DR
N3olekrYObjA7Dzw34tOp+rlEcDWc9LF4OXzt/633xDwHMzLqkY+GG2rXwskLeuKqLWS/DSAlQum
u4UPExZfNM4vaINLChm+ZYU8E6A/EJyNi9+hQfAwZUnXn8ogbBBNq1uFuQrpvRX7Rt8DcRP6RwEh
x3VucQ9a4nYwhyWTl2iNxW8xx9kqFObumlGSdZuzK3VFT/IofBtcG2zlYKSJNwxOkRDtRp8jzSDz
3OjZwAwCmtkNFIeXpE0JmUCBPuPW9xtJ98I0SrykVd6EWl5pKAEdViUdc6MlOUVFUnEIvoKtiNIm
1LeQQ98j1XgZDY1TE/Cq0UiPpMki4DMmYSNKQ3yEuZnZ8whZg2FORLAvrDopCr75nZTdVYPG/iEh
U8jICm30st3o0uARwucw8keXEBuJhxTnDDQyd8eZKQfezoMvvnTqqtOMLevikymgvzYQ+Uyxir2w
Dr0cRwDOQdCkgujOKqXHyGMGY4v21ihkm7rNNDuTxh2DoZckksM3ZBVrUef0aaThUS4Y1ChNtSKd
kuMgk/tM11OYJJIt6fO4r4zmi7EFbY2/lOW/3w88kAuodOkWLrjhX+86KLNFzn9rT2BKXhQkFe5c
9ulJF2gusZ4+M8xnnNGEjqSPiHB+gBbTI98KXDrE7RvYqUciShBUyUetMB+Bt4WrBqvCqutEdUub
ugMGgRUErwwW10LNNug2S3eQoiULFeY8cZ03JBfnwOmq2yADnEGSaMFuwCkd/BBmhmqlZzM9aP3F
WlrevVQYTp3J97o8UTtjeVVaydVR/DB3ExKO1vpjbOpI6eTvukGHvxxYBqx0o+fjnW9hiu1rpyoU
YnQm7pASB6B8q/X9MYnD2yrSbjIDcMzUPpoJCgzqRtHTK3JDw6r3mo7GjanROFHwAongoVxJF14E
7gmntJQnSREepZDUn6plUhYaCPNngZyYsfAktV6L8ImtvAeJS78p7F014YBtmsPegKI4SD3TK6Rm
dMjvlKE8Wea4bWA7KYP4VgFeyg198fHQzkOK1Sdn4jQORq6vBkzWoUF+dATPRraia3RayZYoLa/A
fqOnxICUFDSFHnAu4WHsBet6qNoPrP8+TJgFpgNMru1Q5JGuI6OkliQiwNF0RArjQlMKMk8NZiRw
VKhJh6IXKGAiDQ9FAelDiK5IiLWDkBTGRNhn7OLhEGxMKX3qy2ZVQV22tqrqShK7ZuoP5K8S3Vrj
TO2EKiYrVVjHg7mf8RsbVoSBTAoWwC+L7oxpM6ZDDFnvCobyJsjbfTBUh3yB97RtKhDpuswtU2On
BsO+/GEQKzBxKCVT24FAvLAcjkLDKSHVsWpnXtEZS/L5la55RkJIjnnCLK1Pq4J+n9E/lKJAi0U8
0g+voayohzgcCJX1fX/fyb3hNIBcHSP2cwiqUO6oGzaYSBqXyPdN3VOFGPi9bQN3e+/X0hdb2xdP
6o+R6C8HaDm0ptgqk46oIuJCm2OGbnpEf+QP56Q+gon+YpK1TKp+Tg/+aWVQLnZSOUQ1n2esDEXx
TpxNP96QFZUHj/RGv9j4lj3n8kpLlqSMiMSgz77sjL98sqEhUoaM5ZGonAlHWDSSK+jLC+Cz2IYF
o+Rk7PdlCaq5kETpaFY44/S4QCcfgx0aeF2nkYQPKFXXY66YNjOKb0JUnAvRuE0p3zj1OG0j344B
Gap5G6yyNnrOY/VBCNPyJuiS3tNg2K8zrdtroC0oLLwJoqhDibcGKmA8oHa5LcknppOy6xQ4l4qM
zH/aaqV1HhIUemzbBnm9iYyYrhNsITSdsZQesrL2otTfQq+lQQxvu9Wyl1mcNCcdgqcK396DHCzQ
g0YJvvhWL8apPzb6X7/Ui2lnoqs5CGBzPJnjczi/TuYXsYlfvf7FxiEKKTVykEzkm9wSYmVXyv0X
t8Xnd4V+cf8xD07ERA6mkyZfQVay+ZrEcPq9q/gvh2QXs9Q/viUTI4ukS8vA7q+33mg0Q9iQO3+y
ZEdu39ohoya5j0bji1/jR4rkz3ucWZylYbHVJLZai9JUurjQFEf5EMylfKKMeWNTc+/Sle9C7bQj
58HO7YctEbiH15vICb+N3guZmq880c1G2X7+rf5A0/x8I//0WF/GXVp9ZJUWAuNTu+pd0RG98bZb
Z9dkzXgL5X4lrfmeV8ilbdEOPSgXvaee8rfP34W2dPsu38Wvd+fFmBzoQWrKpFCdHset7Bl2u7Ku
DPvcMFty1w+ac9DdbG2dwtW4yW+1zR3WnfW4Yd2z53UBwdildeZarnDoNvm6OYeIWe3A/VbY3QlQ
y1rbWttiP2zq+2x1+/lbv8gr+P0L/PWtX1TQgtxEaSlE3Jd2YZer5r1clXeSC57W9d3Qjbx8le2K
9dXbweu2msOBPd4xWdjFp8Bh8/EIC/juO98+f1c/JEmffKGXsPmIjntt6LyrcGvZoTNvsrV/l8Ot
Ytxg67Zv1w7TvrV5qjbyM4007/PrL7fvP1/+53N0sdqw1AhTU07jSZwLzxiG/Swkp74Tiy82pWVV
+ew6F6uOCWC47+d0OlFT2/3wJo6bAfid4lUirp5y9fmn+vs17h+f6vIwKWQs/loVdycwnZz8bsrg
+v/tAhdnPmU0MTNnHKASbS/H9AEtw/38Cl/8MD80Ar/srUJWmrkx8aAV5QnT06qUiccxv/hVvvqe
Lha3RkqbuDfi9jQuvwqADGv89wNo0ZmqP3+KixusK2ZsXU02nQbsBZF+IkzLQX/++Zf1xd1lXKxK
uh8IE805doNRd1Qr95K0PSvE1RtT48SDfOpR139+yb/9fRazEm5LBdDDxSVNVB3Av9rupGYfdQzp
i+B7ff35Nf725/nlGhcPTUoUiFCF6ngir4j+/XWWfdFV+OoCF0vinGSjEhdVfxJZtGlGJ0r6xdf0
Y3/87MFfNpRf7uMwYujjp9zHnA1sbJu7fgO/xZ6R9zmhF5w7O/uCogKf9PO1ZvnUv1xSov8ntXLI
HvVIYzhnVUXablf28CId5m1vX5FCw3+wNS9zgL5cC/ZN6y27+tVTdaXsOLWTIOlNrb3JnXD91dv7
2438lydCv7xzonoQJZ+HTjovG7lggwxWt7nk2MladR9ye0eyy/5DfOVwVt9Pe+bKX6xe8rI8ffaj
XPzusL/0sLImagm3d2d3mm1Zt6196t4QqHoA2+k+ySvfzunYrhCFrE1H+GKF/uotGBcaJ2HsBDUf
yvZE4pQ9unQ24+/aivSXffc+bkovOxhrYS18BE+KM66TMwlU758/XT8OXp98C8bFfZL0CraqnFsT
cuSK0Go7Wqq6beLc9dtxu0VFYc8n8i4fRGSo2apcG1cQCtzOC7ck0z2nzhfvZymM/+n9/HzctYuv
xBQsZkM5S0rlqWt9rUOZXc2r+RDtJfst2PqrxDG35Yam3mF0jHsP8TE/UbtOVreRuxQJfxQH/xnd
azwQ/3p0f9dhWOVmuhQfLn/1j5k9TgmM9gAtZc4GjHZ+zuwZ53NQEDku/EAALcvTn/YK/TfEz7js
cduL7IlL0+7Pmb32m2Fa9L1xZIDtIaLr35nZw7P8y72kiQgXCZYnZoJ/SoAzL3b2wK/EKs+K7kQI
CG3WqHtGmccWlbTEEfapO9Xpgyb54C8K/xjVkH00aWicOu+vGItvDctnXdJkmCn0xMgs3IddfJwM
whPgEN6KYvK9F4FxCUVPQ0wYMpoz8rGYMXT7oh44WVOe81F8GGbIkY36aFWkZpmhpa78RWFjCfMq
VQWB7OwQsRHKH4OQAZvMqG9YVp/LqbjvQ3ISi7ahfa3r32qY4/mYP7SW8EBm9D7UDfb36Ngn4aEt
ouemMLMlFvSqVjRiUALTy/hgNqY4fS3LBWt68ZRNDEfUWJl52SlxqnTYYIK/n2TO+mDkV6o6Y8aL
SaJQhygF82N+r0LUSZR6h6ZN74acKG8T4ouWmDeEa37HyniFJxDNf8XMWAzi1vOH4WSW/SMxhG9+
Wzz5FarlIn9DEg/iM6kDr8tJPWuM7ApF1yaila/GwXMqMwwtU5P2Kpk49lAWb4NkHUHft2421UyD
ZIbpE3iRFWxRptqScWgbJvWqT2cndeeorFdTMazEetgFlrUJZO0GsMkHgSTv6NvvlChYI6l7zIIZ
yZPBm+RHssRas4cBAJQsxhU25kq/1mlQhdb4kcZW4fr4cwsSGp2uRtqN4OlBDbQbtQUGZUbJnRrI
H52s9zAPlz9nrrdSle4xAxnYFADjMP+supbRLiEZ8ZqO+BPx4MkKe8VJDjURzZSR0rZvNVtUBaKn
k5VoMCjQTXFdtSG6iYQZclfyq+GtY0qq6ejPIsWuyJvWAVGt/abcR35W7ZbRESoRJsdAP28MevND
rq26Sq1Aufkmr4QOS2xHdvu5oXXZccdpBjpyc+Ymnhp+w0wuA2+o59siqLlqbkJQ7Ve+2N3OprKL
BlyRhpySYl35UOlS3H99l7yBg3w0IYoBIChfRamosWj7JHWMOEXFaAMuFFyNEG5E8mtcwUhyRxQL
etTiWhLR/zeiQIZ1OEyAdMz3LK4O5liQzNnEpceAfKsH00RQU597QUYGbUVg+mIp5W7MbJKiX5uO
CHmxlqAwzthLM6iUezVPmHwgXw62qWyFipskw4NsMhT2aqEJo298DX57llsjGDw90pSVTlhmfmfQ
vS5cOsWzAigpXSYHZmZcAYKI9KupisIrpRqDJyaPXpNyC9kLfeFUMgTG2Uw05AA7FxpdaFjBbViJ
AnR0bbwWU4FsnioCfm30ClMfMwX6Z8J92qJF9HVYteMPYIWSEjgykXA7pNh/9bECsaHIj8kgimS9
IFhhnUlDyR11400MwDA5iT7VlA2DX1hLwIqqVV4UyUZwJ7ZG2jzJfh9wrldmOQSwnen+c6JFoXoU
4TMJNoGhXfn7Bv6f7VL9dLv8A/IA5OOft8zlL//cMn8o6wlgw3SIno3N7ueWCeNBkaDEgb8jiwTF
288t08DGSKA040/AC8vA6+eWCeOB/pxs4oAWUZUR9Xahsv9Mdc/A6WLLZI7GKJu4OUATSOwXHs+v
xwZ2PAYtprlsXFFBLIleI2OCXJ+y70QEeXhyXEt2Q/cL8ABZOlBst5UmffS49e0iy4bdANnGhnUQ
Q57sNkEReMwdkP7UBZy5nFlNR75bbMSvg19Dm4MpY/c5mKa05Qk3MiioQjlZVwjR7rUaJFk1KKxo
yXygD3CPYJiso+jBj5U72AD52Vjga8WCYesWIJs4StEug9HmqwEjWcu6BhEw2mg836HjdStozcNd
jlVXx7Ibl+O0EsfcE5rxBnoC+fa4e1OhgvuMfVit1tri/+0xAmdGfUvwFprdqTg2i1c4aJV1Iloh
aW/N27T4iYsg6D1j8RgrmI2DqLoF+74i54nURxUScl1H2x6DsiSFhjOMA+fxChLZTFE7LobmMdsA
8uThZkjlpvUSiDDf+D9s0Ish2lis0WkEMC7DLU1+/c5a7NMxPuoZP3W8GKujxWKNT3o9zJiuq8V+
LSxGbGmxZHeETHZ4tJXFrM3QEYkICzj8sBvE4zdF813G3W3wct1i944W43coNS9hl6skG2AKV3GH
x4tNXFkM4woxpMViIZ8WM7mOq9zEXY7nsLiqMulYLcZzkXk0kqclT22xpZPOcqcuRvWkt1wT53q5
WNgBNOAcYMqt424XF5u7CUbEx/feFO0VK5vbpuI6xRdfLAZ5SYserMUyny/meX+x0Vv46Wd89VM1
PSI3X8EteFYX432m9DcQFmZbwpPPlUdvxKXfL3Z9MO9sotKE+NAkIAJPv7WY+3ulfpUWuz+SSxmx
da4/h0JmwETuLM2b8oaUwhnlDLFhqJLLU9ALxq4MiuZ6bAqZifoUEBmulDgdydaEyGAOu15TSMc2
VnU5blqF7ClNIaLCr58sFeIaKriNmpRcgrkswvlNPdCv6TS+YjPw10IWzvdKWUi2KmMrUUrj1qz0
fStN72lYwZVNtJvUD4O9PvfenJE5HWLCAEGLsB+1D8Pv7/FcWjgUjO9Y1AArs/u7Wm81kPCaa3Rd
fMX10U9E0zXqodwVBqQNhqt2laheQAwOd7gJXHKc+IuxJw5oCCYmm/5HWvpX6JM60r1aEYV9Vzh6
h5vPn9N9JeeiNyMO2AQdkjoUdYaf74ZYblymY09xiR5c19v2EKoC6lIMs++i6Cd3haiWqA5N+MJS
GqIb/XGG+c/upNJS+teHudvwpWlf/mZn4q9+2ZkUEKx0osiosQydHuU/7GDKb2gSl8gAzFi/n9j+
OMyp0m+k5LApLduTaMIZ+sfOpIpsWkiBfhdm/7t+MO2iUcEex6GRV2GH1LCfmRbb4687k7xcvEyr
9Epk3bI1FYGFpA7fYKkG67YSzmUossiiB05SeWSdNjccSErEnThm+tFEABUdOSneAUgGlC5h+J0U
C6BzwMptKhsz7VZ663vZKG0GOC9ZhhhjQNDMPPWp0VpHR+kGFT30mhEshsFBsO3ewft7Aw6jVkBV
Okkly576pqviOphIt1OagtNhlHWbuKw3tWXBlQ9g2GurWY49kkSIXNf6g44/2Rj60yCj15pqNcIz
Lb+k+PVlUXzEuqWtDN/vnBJt9rpGeuSAuEPNpzc77Gj9yvTLfSsLG0uJvSSMb/0ek8+ogNHpy/E6
h+dqN2a5GvQlDp43t1cMPHCzOfBg5lJus76dLSX9LkdhuZ5kJDNRQKUvTP5dnRY85t3oivkgsJjE
x0QlYDqCV+blfZk6ZLBi0R6JPTAm0+Ostgu1NneDIb2HSCMAFcthdhTXIfERdm5aOwnVqI1k52jl
8l0FfkZux+sIAaTXzcBwp2zAoGF+SAJhqoKcX48hImFiM57iWLphSsO65KOg6UhTdCZduZuz6CnJ
K3dIWc+BVcIDjaID8Kp9XIkfTTPrG3Td4CqjbvLCRkcL5SvXXRs+hDHvPyDRAc9gMTt6qW46vSjt
MldUwKTYB+ME31vqDgHpAxH60KmVgDZx+IrEsWGkYuVUNOEjMUc3Y62OTmGWCEGVbh0EjFyqvJ3s
FtmYO8T8HSmLFiCTRF3TkTgXhbm0HvjdG/hJ0lihSS6fpC46wNk+1JEVbQUk8+RmszGqMoIlq5lk
JxMUYuzbknNscYKQd0DxY1CyYF0JmugkxsVTFVfRqkoRLXVR7Y7EUeoDbxTNB8PbtN9Ukngly41T
asMCtgPKF3TbJi/vO6FfF00O2LJYQSG2EJNExDs1vUXa4QB2J0Wgaor9Izz996bHRRmP6yEqJzfO
q9TO9UXhyaeajKuiGlonsfpbM0lXrbiraCH2Rx8G/CRaKMzzs6TlV3KPfFebz0KnYy6coNgupWPX
wWQqwhk6FFpYnfqGGzTyHV0IfQhbZH7mvCjajtJB6Zyh6+kYt4r9R5iMiTtmCmrhcnlUk+Z1xD00
FCYmw7FDW1oR89tZ1lrKtW0oIVKfobPWgDuVyDZzC726MFKujorvIMQZVpZgAhUChRyMYbsr/CTG
GKYS4dGiowuT74XSP1Zz9wZlOUatxHk0UIarqYOuBawP21ULvZ7lqMdY0eUygQJB2u5ZeyjbzBJz
5VjhxMuzdqvlWayvlA7J9n0vJqa5DknjWncqljxEQ7mESBACPBFIwSh5Zi6oJFP1eFU2WHKJsqPj
M0cnIc+m7tYSM6m9HaxaUPbd2DFJ1qAWP9azKvfnpC03RUDxV8ZT6hVqokLW1wK7EucXqQ5uGtDR
RC6MO1XNu1Ut1FghBX2vGSMcaVNVkTHrb6QHNHbS6rBVY/UxEXQk0n2PoFyc9Z1ScDMnuQnbAkg4
kKfiufTVF2DOsOhNPBhIqj9wJCLPBu0MY2qQbZE2Gu4BTCpTMh6nsnHHyGKeVApHNa+vBb/bZ2bx
DDQKMC4+hhG7WAPrDZ6UljqNMu5C5CwiWbyWUb5ECVnrC+67lbXQg4xHNdci3Jfjk99YByGentJQ
/pglkVcJtI+kz/CjRa4w7+RpJKxUqz0/qG+ShWsnhkQYj+4I4jc0jmKSosQfixfkENsQzKwzCkzb
KkCwNjfjSTeWkGTN4iQiCNfQ/mR3MLTZjcbuiHJmTzfAd/gWyo2RA+pqCrFdK2rP2k4gGQIyw5sR
+Nq5L9y1iTtrwYNcg9Q0Ea9jMeZMZSbWwMUx7y1ps8qMwnQmUs5VsBOjCBuLczaWg0fEwqE0W6TB
JnbKQDLO0ZAfwSMRyEaCjJXTP8kaarP2RbeGyZP75Hbi5EMFyenMt9hAIBHf+13XuN2QP4Du28VC
wnvs5kfU2tiLOl3lHiCqB6iq4NRF+95Y1j0L9EosAY5kYWvLgbJhtHZf9dFaiEi9wBqx5Tx31WOC
tbTiNWKjQ9YvnlSx3aMr9gmiUX3c3FLtaGK9DYSeLaEdAhprGBzDJNla2oRGKiCZyJSrdaNFgxOp
DXaW7opKZJXL7bc+w/eZkPqidlgPpk4dvUTM+v/D3nk0t7FlSfivvJh9KcqbxUzEwBP0TiS1qQCN
yntfv36+S6MnitCb1oALTESjF09NEoWqi2vOyZMnc47hX0F/kktNxeO3FqnKzIxg1UuSsjQRCjuo
GdAp2qynMujTBLuadZOSChYmQltVf037kTynEwVMsjEXUjB6S6lTDmOs5qZDR2yNC2R86Cnqmalg
DSRVeTGpUznBdyHWBBMPQ16E+aahhV2lHpwBJ3+V5IwOkxSNQjY5NjijW42JypIw7DMVjVEIjDRo
mln/gD7LDQV9zNKsB+i5D70pL/LKvM0i7xabMXNWa8GBm+S3cmavNL287Gz1EKLnVFNBeuUYv4qy
2wgTmcZSn5wIedgmOB8Vi/bOWr5MdbGJSwYd0aX/b1DoRYpBKCr9Q9gdPJVbRT9514+wW/4ioyYF
t9k2XvUUfoTdeFri0PHcCoCAk+g6eKuhOF8sEQwjB0r3Aw2QXPCthuJ8QZRBFZRoPMN0IRX6J4CQ
eKCf6nEi7MY3k44E8CAaINGpeh92j5qf+GoWyKeaDVXdTcZwbirfMu8RE9nRoMu6NNOjwG6Fka2j
HnU5Py9xkTeV9LQp8gW9Thdx03wjEpvKg9Qvq8i/TUtjiTXuhZbaGOygxFhZd5SD6LLq8XC1osPa
sCoiGoP2Ka+5zvv0CtEibBAcGbActHwmB/kdVq7steqhMeAkoxSb0SfRD8dbVZeKadLXhKLoyPWh
hUlTsKoa6jJhOt7iv7Pq/CigObE+6y3/Dmn369HOjpywuKWnNMEuT/0usesVZfOVdiD60xpjUTrS
YrTGs8AhxuTJlrkTNlNCK8oAtTnRXE48y+0Oarr3iYPB21N9aRWoL1YtTu6J/bXoSEyEZP3B2EQK
mK1+GMoxDoedtMITHJgGzuOqkYZlpkMsU1pqIOZFlzcXeIGV17ExbOIcVMYs7LXnyzcyBma2nCGA
LPfH1AmoY3g0WBphuqpbjAv7pjnU9eoAXWTcflxjPSiPVZp+89zmerANBBhpz5yQB9AOCWU/LrTj
2NKfNAsIxjGUaxNvehB87H4k3V3UlYePUNeagGzDKqyGJdTved4GR03FmHlerGPJ4IVmOYnCui1P
6h6PnLlrhdmyNigRHVKjgrKu53J9kNnIr9YWhkOKWoeYjGVySdwW6LCPq4pIeRO3RYdcqKHW7NFy
n0x6pBT1aaJmNHbEeI156AlybDrI4ReAMpn2kPplQUMQCISmS1TU1Ix/dfKsG6sH+hURNIyK7wL7
JHRHmDMFN7eEobdn0Ew05sOhpVknkq9i7qPmXEMm1pT827jX71K7x2qqby8BaHw623OC8sJ4DPPq
OyHD01iXw6S14q+eqTMVsCmAEIzWaqUelqkUzMOu1ua60Z71qgbh34lWul/e2ZFRL3BDiOeGa98N
NfqHuW5S+7G6R+zkhF0J9YQhIW9Ig8qeyqHjHceedOLdxe0s9bx1ik6C3gPnJMwX1E+BSQ/NNF2G
WX7eauSmxMTXuQ4v3cy8ZUwAjWA20KZs3rhC1tvgJzZUeG8szgM3ng66VOEBd5caBqoeg5QdSpY1
BjMuRWHDimaS6VOkMgnJJZ/mt7KnStTxjYd+cYFhq3cQ+b6wbjtBWmDdp/l3E+hzGqN2IC+QZykf
/g3nPCsgCsrp78+VqyaLmyTdVp3nfW8nCyV4geeg36NCDn6GZn6cLHTUU643LXrOTfm5nvB2sthf
dOYn3TSqKSr6okXt7WRB/JAfAL0gfeg8i1D/wcli/lJqoGqB5CHFBlNRHV2HWCyYID8zlFqDGhQl
g9PR8NeaAsDZZsakp3A3pmG2aA0CzNCNj/U8jhYI9K/kRlkGeX3qN7jKIa2LJgXohjRtNGXdVfkm
avQ7qLlIxdfH/agceY6+Gn2xH0nZMPUt764a4nPCsGhuJskGo014cj49xG5MGWyk6HaYDOihxhEV
aTupCXs1/7BpMvsoxarN9oXPYObIk9Ei4HWie5NoSXOVM5+wOy8N9I+d8JZGGJGjmqe2gaSJ2nBa
0G0SnIItPJpZBnRFMokEimVOgzZSDohnj+qapiw3udLYS7DEO650R1irXXUYgoHwe8vMbA5Ng6Jk
1pqnRmat4zqGluAb1xpttmNWf+t8c1G1VG1LBb2OzrHPWOmHcYIWUBedhF24yGl8AVemMIBlAPBq
Kd04QrU6G/OZbIRHfjn2E7ENsj9BNDBi0js6/Be+6SQLKXS+9RTsjbY50gF0TvLinD13kWBVOVh4
BhtYS2r9xcCp1Ych2BcuZpqC6HYs3ba6ewPutDAbWpidFqsYCp33wcDJLskatCfkYpQ+PBmwnwd2
bs7l3sUHLTKTr4V+QGkBecHa9jKsXqz2xJORZsKjkjqI2U2Hpr30CQD4N07WmO3N6iL92nAbboE4
ThTQwISB8dIIZMbGpiGPNKxo+R7CUKKcKtvxLBts8oRBuwhssuXOfUQmEQNT07zSM/NCIkKb4up8
5CSwKRqDrkE/J1YOSv9CwpvTQAr5yMgI+PsivEJf8oFIaZa6CcKv0WOYll89B7oH6hYdaEpkrnJX
6ThDKMm7We9NAeMWmi5KLhbOplkAzTVoZiPKlMYYLTl+V5GqxXP6tsnTgKVsw8hnuomsC0yB2yxL
5g7OjsK6xofPUQVT0CzOjl6pACApsUmAqnSKDTCpFSc/pkB1XYzRhZs39lSXw3KSBZinomhsz2hk
biZxmR3KWR8fAVZhsVjdBqZ1ZOjGRdrSEG0FOC5IyjgukxSvmtQtwUmGlJmpqd/ytLi0W754o/Nm
gzGeyI376LaSMtNaA90m+6Lp3FWnkVMprntgQS+ZGEx6ZDBpKB5xkSoVHA5VL6roe4PyERa0cUvj
sEHuvZoaFR3nMSM6qaVyTYwzkyNzjk4Mku4xSuGYkS3R8UnmQ3QhAUdgXUmqOG6kaNjUrXnl9e1V
FCMi3NtniEtEU7J4fdqpaE4g2/mVducUFWNr7o/1wh9aEz2AAtqJIGc0Bnl0Kg0bvtdhrVfGPMtz
EmCs5WeqpD+pfXUcy9JxL9fpHCWldC4P4wb58NWQ18Y0MxGfli0OYvJEC4ULVNPRD7hMLLpOi6pW
lq7qQUHRTO6njdNZ1zAD+fl3NSaQGAyhtkG3+sSOpYuikZ+qhCmhm0lAvca6zsvipIpRqqZN/inP
5VMLc7Aq7E0g1Fifw7bB1VEJF/hGlUeuIi/7FFGMhBE/LFIeGgAVXfc6vdMxBF9kEnuwF9h4orWY
TMSDt3IBBFeZMmwKM8iWDlujHoEyIiU09aETjLV/WoHIwiehjDQE2iUe9h0lVGqBlbwMS/0qRyiC
Zt1LxSvUaTZS2JUza+N5+To3/bXKw826gIjLkJtrfJyUKdF9MY9p7SerZlJHlXvXmuNdWRcXNL14
Ky+WVtQhG6FZhsZD3VzmNn5tZcT3S1/ozNYQFeioOk28pLwPS6IbdvnMd07Z6JYAAIiD69UVck9f
I7W+KQuUruKoudGdUV4paqfMZFklmIEcjk+3b0wHH4Av8wpIhop2UFbhZWpqSxxL4AhFyl0XgUc5
cYjIrhNObScSdVIIpaX6tTXPu2o9urddcKj72nkKU4g49GsoJdeBlvDVpPUSe60TNc8AZmOlWsmh
+aSw0c8VtFLbwGRp65inSgbokGWOwTym/X0S0JmYOd1Rlcf0t6krq4/ZfoNhPg7KJYJlhz5KLqD5
zY1VA5nJRb0u6pPWBJc28GLzLO9MB/ycxZkTLNWiDKdI4t8ow7jE6CE8SiW2fwzpj53BkhbI7EcL
re7Dyaho2qTKbb4tV4ivemvcdtCjNG2RgWUebepY4qkrSgVPiH76x11aT3T8aRLDugkzIH5c5IXK
eDEOJ4ov0zZU8T1bA2C9Z9cwWABg2b/Wbj06pwrUgVN5lMaVW9X6AV5RJ/jM2jbdzMOwHPteZT+2
izmHR4gbDQ1yhnKs5sYBu9HahN0X2Toi8/T5zqRS174GVs4O0dLaqVfSyi/0E5Ikb5X68pM2yE/I
zN9z5Ihe7X41yNIssa2ZGsk8OvdYaUo2i/oYm5gI8rTnL6GNobDhokqLZ84tyjftclBQKukKf14o
9AKrWJmarSTsj81Dj8HO74HEFd29AIpaSRLM/KCEyZcDDQZNokzBGK8Zfk5xJX5CwH3dqp61yNGp
KytzGdoVAb9mpQu4hfC2SjnHwxc1K6XobtO6B5KMLw19mJmxcY1lILSlsBbEsoNONxdIN4C+KajY
oCSo1DnecPoDm+tZ7XTpNPaZAoFZXECWWLDBKctOF1CjgmeAjz2DNWLGbNYY8obJqYWfBPIrPvpp
TjTMy54smH0/nvnm6AML4O7Wo6KGjkWFury6GSsV2deuw/KGjA/voxOC3NuyzI9ogLemWSLNFfqn
6Ze942hZtJ16URbtISt3ZSH0BBHEv86RwQdbj487haM2Uo4Ctz504+zGyJVb3Ec4I1LrplL74wyq
FRqLjgQzE/VIx/C+wn1MMYmLD8ZgXerlce95C7qro1kT2Oe+kXNGS+Z1k7fHY+9PUFy9j3VjXUSo
A1TacEQRsVkN5VDP0948ThSbykrCRihh6GwE5qww9FWUAYHI42FTatrUM9DeMUfzJuyS5EzD6hcr
SJv+yg4ovPWpziPPKLw5VHy6kxTNC6SFKFiWq0pXs1kph/dWRwxj982ZldPQ7JRttqQfojpKCnRB
Cq3D3dyy2ZTcZRS70tJJupCY061ZXEaMjMiVWUtrM7CSpelnBw7RllCy0UJzMraO+doO8u/qukFu
8g/pWBnAbhw+ltfF296yMdhd8FsxjtdlgeUJvfkf2Zj2xVQ1QxPOYiLf+ru2rgk/HyQ1VFIyx34H
8vFzJNeReoSxhY79n4B8lixSrb9J9wLkg78NQVp1+A+3IkDAn1Ix6ka9WRRVcpYqCHIdV2oDsDc0
AQgTtlSd6lACaUGxENp7wIHl25iN/hKD6kvOJCpt1v3QYumVN96qxAGnyAPiKNuIYapaJ3KtFJQK
kb7M8l4n5HVQV/IGHwqs2UwwbjyRJDci1CArCt3stBrqR8mM8onhdI96LmVzn0OxcYgLMzs47HUh
M+GEx1JenJVyZswy6I1oCprtrIZ5wilSosdYZ5OyKe/boF7Aix2WsmrfSz3JTFcryEt6K8uqT+Ay
U6pCTGZiFN1dZ0vXcT3E0zBSLjWjvvVAbJccbPaS88489QL8Higs1wSDUUnY6W0ARzJqEC3yhPi8
Q7w8zQSKTlUDmShwdR+AvVfldSIbT3qdLAlJNpVOECAQ+VKSpj0QPRxX/tpZJXJ52wDhZz0FzVSA
+oD7TnivdTiBgPdTXnko1eq0HIMbg3pApNvJDEVqSgSGeSZxs0RK3SrxA/a8mqhulBpvgX3PZRVo
J00unYzPxQcZTvkgChJGYScHIcIGE0OUK0D6ziSDJLiosFM3JFhqFBsPQx+CRSgKHoWH4yPB59ym
FmJW0lrtCkTSqZLYGUej7CSnOZon1PAKxMzzVF1SusG/jDJLKcy68yG2l5Hll7NQlGPM1u3nhijR
4PBDOWZQMbLsvrpUcWKqOabcnMpZipKu5BTLkjp2j0AfLOboQDU8xElEWUjvxmFiUilKJAPlM1Vy
lyw0d9rhJCtTV/JFgamvif+k8sJsjbOOCpQXUooy1XCpU5tKan3lKAi/RaN5XXPoyon3FeLZExo3
EsCxSoFLlLpaUfSym/GW4I2arJqvXSu/kUSBLK66a0mUzHgrZDxRRtNEPU1C4UNTTZITJfueVFIy
DbL8GG/r00iHK18PPfU5CnUNPqvz3gZEsFDPYa2UNjy7ANtZSnxdTc4caWW/qd08nMlVjtmLqAlq
UYh4FtIrwTVkvpgZSPWQtYY+H/VEu7bqZVohr2p0OHn2iupONfxbBzQldOK6WRIG2mykSAljD1Gq
tBhnFgXMIOWQBqYHnHiublLmdCl3Rn0hi7l2qWtrafgeyWDpEiXSzKrm5G/hzPetuY31LkrO32VR
WM0t/Xs5yncOFVe5i0/yYcBKiFIsSZw/NwmuQDYJ5ZtqE+sjfQvDgZ2Na71xRBIoSrs9Wrg2NjSl
PXxXq/KbJzWHXVaf0798TCgWLdC4m43UizWHrkpFlJANUUwOm0imUkCBuazr77mUJJQVOkFhtTZB
UX6jO0Um/IHeo4pSdd/Z5rpuREXZkGzSS/2WXbeYQKxGPYNqdw0DCgkbxFLYkA8rURL3Kmj+/tiu
ifvaqUrd3PT7TSgK6bkoqddFFc9zUWavdNqVE4IDH7Gs2u8va1ChaQ89L+4h6iH/i+lrapQsuowl
YZvHcRlAJujdkyzWhB6DS5uT5F26LnJguXPpuPpK6wd7akJYQPwlJpGHhohBxoLgIr5FADWgD6U9
kmRLFWIsLGwjvLFgyk/MtgNJczr0o1X/vk8zE3W3gEgrXbOhXwx6Bj1EToBe1OY811GWCgxj1sL+
WhKk4w5RaTq0xuzKtdO175KrRkWMRHZ7Hhh6OlEp7ruo/yAkUipzWjJ4b9teGmZor8a0uccKjFgy
L92Jmqr+1AwL+PGj9N3RISHhVxgsbUc6T4fs3tRY20VsAVAkJBYxkRpIw5ieyIVDP2BW3ELLF4V0
sqFkIM3VcIuY+KCas4w928hTGR1BuV7A5r9vnOAmy5lInZsuhtoDe+Arn3DcldNOQ+ao7mVvAeDJ
mJJpHUCcWjmeDrEVmWIWDc4Rjd5e+0N03nEmTusQsd/AIENAowo8QhqYbjbgeBOKonFMRSSXRlSS
dThiEiZW6GiD/MgdhKYIcWw8MVA8fjQy4wz/7qceU6VJpYe30CGxditB78wmPVI0s8C8fDzm/EeV
xUpXsqIc1HFewhhVm3lE5ee2iMP4oBqLa01l4cepdiOh1VwH9WNXxAvHDa857OVDYLF0wvl/UAXe
KYaTV5jmrjSp6ib47vYICIJGDHq3ciGqWumAnGSr03BZGu1MtayHoM/IgkrsQYosH2mxsS8UGk7m
hlDOSRHNnOc5Wopt3LgHcjlsTJoa+T5bdRFF9lWfwoWyXWkdeN6mRMfKiyjO9GGOHnbG+638LIta
ZQKw6s1RUnzIsZamZSa402UAj7Awz+TG/Jrp5tLN4341etr3UO4s9lhshVUV5Sq7R7bJtOJmUpsV
htrZwPQLlZqC2oC2x6jcmVV7gmlfMB9zvthSYtf2B0oxoQWn1pTCjZyqx6gX+9M6cEM84+ipaWOG
ui6Xw4ikdaMZSGvL0SrE+WlKIz/nnSjYFKqbTjNylDlEyEffA20sbK9c4Jgnk9K07Qy8ESc8+CGD
ZN4kmLNQKnONaVJIV37ZXcMKhFIbONOsi6mkIZPoNXYNUJhBDtf9y9pE2NuN64PGa1CGlJ1riDln
XoyfOi5p3TzJJQS3YS9MtbZe9J4Uk6ymBxKREwsylIG3qvvcSyg9cZ4zWhwh4aowEYgRPK6OWp+U
m99NWbqSoAbPrETws53ouyWY1VD/H9qhPHQ4ySeDZTxUrbUsbESmU09Zu6mW4rTY6tPejG68JEEU
ui/Vqd0gWCQlNA/dy7Z3RGCgQ2GRsonShOtciN+j7heeqAG2ygUIEz5gd55kgOh24ZVSwoXIG+nC
SiB7qVgv60530xNzoa8/QljPs3Re1MhADigVAlEXPI5OF4Hdlfi3ZPqhDafZtsE7I6uIp6y776Zq
weTp4H9DbFzIbXObtyxdv1TOYy+lB3vQjjUzILMzwENRmbuEP4T6haVohJc9+3SZHvd6ib60qa8V
u34IE0ja2HjfFL3PHtTI12OMZNwQX1F9TmYdYqKZJd8j98Dk74BHnRpxfMo6R3lVLlIZNR15qHAE
QICWWRs+OcTGfmuSL/fp05iU69FBotMrxwNVTW/JmGcI0V7nLfXfiijPitj6wC5Q63c6C2vNgJts
rKXcl99Nn5DOyvo7LSHma0MFED68RTzqAC2oGSrZG2rV92HdnOp6scahXpnRWbVAM56TUiuw0rEu
el+Z9wZafm6RXfaVs6LSCvdGoosoPEMdbErLA7ikRonRjeeIth+VfXbQBPk0NuQWRe1QIUH1LDU6
j9PRvB1Q10e+QzJafmDUeTsbhF+bkUsvyj7/zkFF/ez3OegdDKwtCSjv+ZGA4ukhy2SRikMvrC4q
jD8SUHJTlQ4M9LNN2eKfP3JQzcYLzdAhkyi2hnWgUHh4KwfiBMImZtqU7mBj07T7Jzko/Uy/5qC0
G5nUHiG0WLQz/crvrssuTGM1RKW2pu02t/FbdcurWsUhO1RpAR2VNLsKWiWmay9JLqvGRetaVrD8
Gl1crjAL8JzMrSeFrp1o2InM6Q+ET2iFuDLCxaxVGTi0aO+dpsuvsiGr5gQv/ZkDBD1NErTnnMbN
rvSqPS5l+uzqFE5q4MOn8wqQuC71LiCOpMsGEcy517rKrFKU6wQF7FUcQ/kNHW2JZ8SBNthXXtHQ
Ta+HGBu1eXAaB30ypfcVgWqT0KKzv2IiH1wXlKWOfXVIF6CcWKYKK2mFIThFLcJdUEhwVhAtjVOv
U81JnVAP6nLLmWE1z2pMR8TrPIscMacJMQ+hbjXJUVMMy8iR7jparjBHaKZOxrFl+PlabvR5ZHny
XPXadVRKhziAfGU0j7OMSppco4VHjTGZpJH/zWj1TW8SXSKJeeMV0Y2gtc3xQOgmrhdc1npFBh5L
RF0ptpym562iEXFuyUyeNI/dsE/NtVkCF9ZEfSBvIfp8kuEtfLeTJ2jN3vFFh1PHzC8zyT3R4+He
pk6iuTGS0Ln26A7VGYTm9ggaLA1XNSppRWefQM2j3cwdT4yMr7TO+1kxdGdRot2rWnkzdtGD5CKS
mvn+Oor7U7MDmbCo3SC8iXkGKOsBgqJIlzXwJTrPOSWqradqoq9QxD7K+gSbUNRMSIX9u9wbz3Ud
dk5hweLrR4kONaxlmB/kjXYR2acAxaF2L6uIMB5YNCHP8X04hHoyJiQvpTeLDZIH3zKepIo8pREJ
hDQsngk1aDga0EPiNe5sJUx4dnk1UY40i/pxLFi0rqzAbjHsYDkY0dwu0BCkhQkw1DDaaWuXJAVe
hF0u5afBB+sPIP3Os9BZ0JAOeSQaGeSgcg/QNEJqxIgQE2SBTxE5XWlefhGnac/M1g9626HKFiXy
VeojHOvq+krJUlonDJR30bMBXHAJEnQ5BQNynwby8wCU4SAyjKuydr+pKLFPrUibWpZzQkUsBmA2
TM7wRsZW1DyQ7FI/pe6AsgVGI9NcCcwFNPnLNsqyqVsbR3LQ4UZHC9hUlox1GTfBWhmyw0KPlYMi
ox5EKxW0+dtKcU+lzlt0NHAtaEun3aMMoinF62U1ABQBJs3sIr73Y2NhZzlLnWWS51bPwCbfcr9a
91aXH0SSZc/iQFFO/S7X6MeW/AtqTLBodKhbje2etAUxSuiYc3VwcKZIW+Z5m6R4YfTng0K4PNAU
ty6GEQFzVXVX1FPAa6tMXw6e68xkZEcP8iI9hJyF5rnXaGv6DcZ1ESrSUs8Q5M2K/NyUnHIxRsNa
kr1bslPtTA2Bvdn96DYIgE98XH0lGvC93kNvK8zvCiv0vlcp2vo+y/jcCsMntANB4VNHq8v/Nx1S
r0f8VtusH02s4rdnGZn9VfbBW+tf+qM3ysr2C73KXWzx4fr5cDUQtfjlMH6+p2cTsH+6RLwh92oe
8fjSaOk1dNMEcJWfX0CycZZ6r7+WFNg7oCGISnJeP7+eP/CnMfrdKPzzA158sCj7eJ3fPwGBwXs9
EFqS/y8jwXXeDYVNWxkRgfbypMQY74YC6FyFqGSZvI0IaN/GgKgKUuy70OxfmQ3vx8AWxrJ4Hxli
RHlRHng3BkwHi5dhCIGe/RyElxv72/vuzwfB+aLK+NQyCi9rQgzRz2uCiQDERoSov8TCezgTfi0U
/fkgEFaLMFwV5Z73Ty8zBZ4p2C9bxstH7eEY/Mpd/L+MAcxFFa4hNS7x+jAR4C/aYqroZBH7uRpe
9qrdVoOh8IQkXdu3BCElwRGiKOq+zoQP3RF/PhOQkTLxVGU1vMwE5tavi4JfyvDDXvaMfR0K+dfs
/c+Hwv5Cg5LjaJr1m/mgflE03QaU4vDYy0UhxNx2OydpKqcB3JQN+lpeXr/OB2IFDY8wWMXPE2Zv
58PLxrXD/kDrvQUeY6liUojXh7BJ5zjVNcKml71oD08Kbnm3+QA+ZcGmAHN5GQMRjf66P7BcFJaF
ud/zYfcwmq0SDA8XDKbW+zFgY0CnjxauvZ0ILzvWDqtBQ1WQhgYDYOt1JvwyCCKAthFPsoU4617u
jspn7I7Cp0jXP04B/YtigtZyVr4Mz56OgbbztkhiDZAMI8p+fdIPO4IAu2U6YrSXJbd/26Lycmjt
shrULwDotoGI5vawSTGIqwxWC5mGeO3rMansHkYjkCZjHEpd4zcbg83u6Jgw8vY1bHrNdneYDyJW
wLXBVt8gli2LwgR+MOjH2tOdQdk9qzS+aNjLkk+9zHkx6d+dkxwRIsJWkBfa10HYHWMxv/B4oGk6
GObz6+Mg4A9BB7myr4Mg1A93jBoNpKkgmzk6J8Xr9vduJqjgC0wSUuu9PSN2zyeZ7ZwPFu2fL4PA
Vvt+ENQvaDEryAzsK8jyCnzssDFq9MiKcwGS9W9mgkYSBTkO58d93RN2DplIqnWAZ4r4L2MgRNze
zwSWA7/WESXd00EQAe+Oe4L9RRUW3Gx8L6PwYRBAFhgDocixp4PwumPvshx0FEdUVUPS7+VwYKt9
NxMURgmOhm6xb4jXvsaN+u5nBN3uukzObP5ue0SdRRaDAfFlTxPK3QfB/AIOD25gvVZkfg2ZOCgJ
GXVBKtrTQTB23xnEGaGQKzm/q0YAxHNI2vr+Bs8v384uOwNWD0IGyJBfkbZfdwZqc8hFcEKI0uVe
4ivCdWzHM8L6wlRnMaCm8bb9vd8eHdYLutkqUdVrcL2XQ/FaNttlPnAQGMCqFiYfW4dC1Gp1h6rM
3pboXmHxXQbB+gIBkmY+8xVr+rAoiKxoFuG0fClf7etxKeyZdlsaIAy68+y0gjSMeLHtvlsanBR4
pFLLfE3k9w92U3dPrsWiEO41b9Aj4fK7QQBhoEfN5iDZ1+Pyg470H9cpySYgqWAioP3uuMTnANcg
dKRfjuY9nAm7J9fmF9NCXkmjyfD59SGbUFBgQgwMlfw9PS71l81qx+2RVAF84Xfbo/IF1FXBPHlf
azKvSOAug8CSp70Ee8TXEHrLTKC7lzEQW+ZeRgvCRHa300Gj/ARxix6C12jh10FQoEOSWzvWvu6L
wqVsxzHQqMkQMdnmb/g8jAF6+TIiRfsaJojujx0HQcjLoWQKsfU3+yKVK2QQdOLsPV0Nr5DwLluC
/YUQQMyFV+7vr6sBZhflKmp36kssta+LQojB7jgfSJgQuYC/8Vq2/zViImwEd8SXQdvXI0K4Hu44
CBo2irJB69PLmvhYmCLPgApJSWZvZ8LudVqbsBEONCWZl0n/YSaIDEP8jxKeeO3tJrn7UIC6WXDY
MPN6GYoPaSW5NWkE3Xx7GzKwpe24KISxGRAD6OOPTfBdLsUmiSK1DN1lXwfhQ8fmH+dS0NtIIpj0
gj7669PzC0uB1bOn5+Trhr3LOfkcC6AcKoKvd09PqKSQYRJPvk6OfR2D3QMmcFdQVx0l95fDYUus
oDqU8x1nvwnQ+u6xgi6IWwJh/j3FD5EF2L90iDy/9nVWvJziu6yMZyCavsq3+f/hsKRYqZJZI52y
p4Og7z4I1GU0VaVN5HU+/LpLcEKgpwYdcm+PyQ+6cn98QoC2YfOA14PxOue3zARxfLAm9nUmvLKS
d1kOkJo0FMsJiF42SR71/XkBCIPBBtzfl7hk/yDH1xvbZRCEGbuQUgeHf379OgikUjTSKBj87e0g
fAbQJLqBNPl3TTICgXfIrE35BdD5l2bCv/BHP3qPp34QPz63JmOC9twQ/NJy+7/+wVvf7scL/NRz
+9x5/O4vRavyy7VfOnPF//+vzSPet7OgqsvgoVafO2Z/+u1bB+3zJ72+//URP374uw97e663H64w
uNmUD/7w/Ivh9UZPNgkdzv8d85/HzfaO4b/v5j//4/3NPh9XL8vgn6+OiOTTrxcXIdDbz7b0cP+c
mf3jxZPNY1a+Xejg8T//A04QQlki59z5zidNXW+7cW5u52tPN/Gm5Sup3q71072z6He/PgJF1Yev
lIFh4X7CxdO63Pw1zbZalYoMaOePmD3Ff51k5dbxJ4vc+frz+K9ZVjJ53q710/hzMO98/UX5VKXb
Ls5mtvPFl/FTmr5d56cbJ1Db+dqrJrnP4sf67VJ/X150vex8+YMkfyqDTfx2qZ8u/xlL9gDNwS2X
/owVe/hUbhlzUSPfeVAOg9TbshEon7FWjzbRlj1MtFbtfNtHm6p62jYmn7FAj7Lqr/9Ovaf4advI
fMYSPd48sgG/jcNPE/EzlujxBqnpLdf+jCUqro29wJZbF8Spnb/W46f0MXsItu1egsb9CdcvH54e
3y7097gLls/uF8+497fr/HTtz1imx9nWMfmMVcql66fyadhy55+xUk82+bbZ8hnr9OSp3XyMHXES
/Ywlelpu2AK2DMpnLNGzePPwtCV2FGXDnefhGY4I24I7UYjb+eIXAaFjFTxuGRlR49r5+pebh5KU
IK23nKXaZ6zSy0361+QJKf5tH/AZS/XlA8p0Uz5u3cgEUeIThin9axY8edse4jNWrXiIBSvgIage
tn3GZyxf8RnrbFM0204r7TPWsPiEoyao/jq9D6p823N8xmIWn3K8qZ+2Xf8z1jPXrzd/TTbl/WZb
zCAw88+YT3zGNN7+CZ+zsMVTTMtmfLvdv49I/VMWtr/ZmhMKsuLu4/NPJr0pem3DDkjCZVBF2EI0
b/f508B8ylrO4s226EGURHcfGAKTZMsBL1hAu1+83iBCGW+a6u1iPw3NpyxdAbNsOYdF3WHnu796
8jfbhkYI3Ox+8X+0k9l1Rl417ARbjniBwu9+6/9sTLrrvX/lBpttG6UwrNn55v9BQnnXG79r7rcs
JNGa9L/c9TZY9ocC4kew9k3dcdvb3mPR4i8e4qdN+V//AwAA//8=</cx:binary>
              </cx:geoCache>
            </cx:geography>
          </cx:layoutPr>
          <cx:valueColors>
            <cx:maxColor>
              <a:schemeClr val="accent1">
                <a:lumMod val="50000"/>
              </a:schemeClr>
            </cx:maxColor>
          </cx:valueColors>
        </cx:series>
      </cx:plotAreaRegion>
    </cx:plotArea>
    <cx:legend pos="t" align="ctr" overlay="0">
      <cx:spPr>
        <a:noFill/>
        <a:ln>
          <a:noFill/>
        </a:ln>
      </cx:sp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6.emf"/><Relationship Id="rId12"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26</xdr:col>
      <xdr:colOff>0</xdr:colOff>
      <xdr:row>46</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194560" y="0"/>
          <a:ext cx="14584680" cy="7536180"/>
        </a:xfrm>
        <a:prstGeom prst="rect">
          <a:avLst/>
        </a:prstGeom>
        <a:solidFill>
          <a:schemeClr val="tx2">
            <a:lumMod val="90000"/>
            <a:lumOff val="1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0</xdr:rowOff>
    </xdr:from>
    <xdr:to>
      <xdr:col>3</xdr:col>
      <xdr:colOff>0</xdr:colOff>
      <xdr:row>46</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209800" cy="7863840"/>
        </a:xfrm>
        <a:prstGeom prst="rect">
          <a:avLst/>
        </a:prstGeom>
        <a:solidFill>
          <a:schemeClr val="tx2"/>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598796</xdr:colOff>
      <xdr:row>6</xdr:row>
      <xdr:rowOff>33020</xdr:rowOff>
    </xdr:from>
    <xdr:to>
      <xdr:col>1</xdr:col>
      <xdr:colOff>1642796</xdr:colOff>
      <xdr:row>8</xdr:row>
      <xdr:rowOff>42500</xdr:rowOff>
    </xdr:to>
    <xdr:sp macro="" textlink="Analysis!G3">
      <xdr:nvSpPr>
        <xdr:cNvPr id="5" name="TextBox 4">
          <a:extLst>
            <a:ext uri="{FF2B5EF4-FFF2-40B4-BE49-F238E27FC236}">
              <a16:creationId xmlns:a16="http://schemas.microsoft.com/office/drawing/2014/main" id="{CB7E12F4-1136-40AC-B5F4-96875F1DA7A2}"/>
            </a:ext>
          </a:extLst>
        </xdr:cNvPr>
        <xdr:cNvSpPr txBox="1"/>
      </xdr:nvSpPr>
      <xdr:spPr>
        <a:xfrm>
          <a:off x="827396" y="566420"/>
          <a:ext cx="1044000" cy="36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069BC8-934C-4B96-AEDA-5D218F8E55BC}" type="TxLink">
            <a:rPr lang="en-US" sz="1600" b="1" i="0" u="none" strike="noStrike">
              <a:solidFill>
                <a:schemeClr val="bg1"/>
              </a:solidFill>
              <a:latin typeface="Californian FB" panose="0207040306080B030204" pitchFamily="18" charset="0"/>
            </a:rPr>
            <a:pPr algn="ctr"/>
            <a:t> TX ID</a:t>
          </a:fld>
          <a:endParaRPr lang="en-IN" sz="1600" b="1">
            <a:solidFill>
              <a:schemeClr val="bg1"/>
            </a:solidFill>
            <a:latin typeface="Californian FB" panose="0207040306080B030204" pitchFamily="18" charset="0"/>
          </a:endParaRPr>
        </a:p>
      </xdr:txBody>
    </xdr:sp>
    <xdr:clientData/>
  </xdr:twoCellAnchor>
  <xdr:twoCellAnchor>
    <xdr:from>
      <xdr:col>1</xdr:col>
      <xdr:colOff>777896</xdr:colOff>
      <xdr:row>7</xdr:row>
      <xdr:rowOff>159311</xdr:rowOff>
    </xdr:from>
    <xdr:to>
      <xdr:col>1</xdr:col>
      <xdr:colOff>1463696</xdr:colOff>
      <xdr:row>9</xdr:row>
      <xdr:rowOff>75491</xdr:rowOff>
    </xdr:to>
    <xdr:sp macro="" textlink="Analysis!G4">
      <xdr:nvSpPr>
        <xdr:cNvPr id="7" name="TextBox 6">
          <a:extLst>
            <a:ext uri="{FF2B5EF4-FFF2-40B4-BE49-F238E27FC236}">
              <a16:creationId xmlns:a16="http://schemas.microsoft.com/office/drawing/2014/main" id="{9552D92C-B551-4D95-81B3-866B62A9B2BC}"/>
            </a:ext>
          </a:extLst>
        </xdr:cNvPr>
        <xdr:cNvSpPr txBox="1"/>
      </xdr:nvSpPr>
      <xdr:spPr>
        <a:xfrm>
          <a:off x="1006496" y="870511"/>
          <a:ext cx="685800" cy="27178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marL="0" indent="0" algn="ctr"/>
          <a:fld id="{2B43AB5C-AAFD-4C3C-B9B5-A2F89DE0A175}" type="TxLink">
            <a:rPr lang="en-US" sz="1600" b="1" i="0" u="none" strike="noStrike">
              <a:solidFill>
                <a:schemeClr val="bg1"/>
              </a:solidFill>
              <a:latin typeface="Aptos Narrow"/>
              <a:ea typeface="+mn-ea"/>
              <a:cs typeface="+mn-cs"/>
            </a:rPr>
            <a:pPr marL="0" indent="0" algn="ctr"/>
            <a:t>2,400</a:t>
          </a:fld>
          <a:endParaRPr lang="en-IN" sz="1600" b="1" i="0" u="none" strike="noStrike">
            <a:solidFill>
              <a:schemeClr val="bg1"/>
            </a:solidFill>
            <a:latin typeface="Aptos Narrow"/>
            <a:ea typeface="+mn-ea"/>
            <a:cs typeface="+mn-cs"/>
          </a:endParaRPr>
        </a:p>
      </xdr:txBody>
    </xdr:sp>
    <xdr:clientData/>
  </xdr:twoCellAnchor>
  <xdr:twoCellAnchor>
    <xdr:from>
      <xdr:col>1</xdr:col>
      <xdr:colOff>564536</xdr:colOff>
      <xdr:row>10</xdr:row>
      <xdr:rowOff>140793</xdr:rowOff>
    </xdr:from>
    <xdr:to>
      <xdr:col>1</xdr:col>
      <xdr:colOff>1677056</xdr:colOff>
      <xdr:row>12</xdr:row>
      <xdr:rowOff>56973</xdr:rowOff>
    </xdr:to>
    <xdr:sp macro="" textlink="Analysis!H4">
      <xdr:nvSpPr>
        <xdr:cNvPr id="9" name="TextBox 8">
          <a:extLst>
            <a:ext uri="{FF2B5EF4-FFF2-40B4-BE49-F238E27FC236}">
              <a16:creationId xmlns:a16="http://schemas.microsoft.com/office/drawing/2014/main" id="{0DAC090B-9A6A-4A3B-A40E-818F618826BF}"/>
            </a:ext>
          </a:extLst>
        </xdr:cNvPr>
        <xdr:cNvSpPr txBox="1"/>
      </xdr:nvSpPr>
      <xdr:spPr>
        <a:xfrm>
          <a:off x="793136" y="1385393"/>
          <a:ext cx="1112520" cy="27178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marL="0" indent="0" algn="ctr"/>
          <a:fld id="{63CD9542-9081-47E7-8523-D0E91FD3D33C}" type="TxLink">
            <a:rPr lang="en-US" sz="1600" b="1" i="0" u="none" strike="noStrike">
              <a:solidFill>
                <a:schemeClr val="bg1"/>
              </a:solidFill>
              <a:latin typeface="Aptos Narrow"/>
              <a:ea typeface="+mn-ea"/>
              <a:cs typeface="+mn-cs"/>
            </a:rPr>
            <a:pPr marL="0" indent="0" algn="ctr"/>
            <a:t>11,997</a:t>
          </a:fld>
          <a:endParaRPr lang="en-IN" sz="1600" b="1" i="0" u="none" strike="noStrike">
            <a:solidFill>
              <a:schemeClr val="bg1"/>
            </a:solidFill>
            <a:latin typeface="Aptos Narrow"/>
            <a:ea typeface="+mn-ea"/>
            <a:cs typeface="+mn-cs"/>
          </a:endParaRPr>
        </a:p>
      </xdr:txBody>
    </xdr:sp>
    <xdr:clientData/>
  </xdr:twoCellAnchor>
  <xdr:twoCellAnchor>
    <xdr:from>
      <xdr:col>1</xdr:col>
      <xdr:colOff>598796</xdr:colOff>
      <xdr:row>11</xdr:row>
      <xdr:rowOff>173784</xdr:rowOff>
    </xdr:from>
    <xdr:to>
      <xdr:col>1</xdr:col>
      <xdr:colOff>1642796</xdr:colOff>
      <xdr:row>14</xdr:row>
      <xdr:rowOff>5464</xdr:rowOff>
    </xdr:to>
    <xdr:sp macro="" textlink="Analysis!I3">
      <xdr:nvSpPr>
        <xdr:cNvPr id="10" name="TextBox 9">
          <a:extLst>
            <a:ext uri="{FF2B5EF4-FFF2-40B4-BE49-F238E27FC236}">
              <a16:creationId xmlns:a16="http://schemas.microsoft.com/office/drawing/2014/main" id="{9F9AFB13-9BE7-42E1-8C66-97D7137CD71A}"/>
            </a:ext>
          </a:extLst>
        </xdr:cNvPr>
        <xdr:cNvSpPr txBox="1"/>
      </xdr:nvSpPr>
      <xdr:spPr>
        <a:xfrm>
          <a:off x="827396" y="1596184"/>
          <a:ext cx="1044000" cy="36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E02597-80AE-484B-8149-BC22F6D05A07}" type="TxLink">
            <a:rPr lang="en-US" sz="1600" b="1" i="0" u="none" strike="noStrike">
              <a:solidFill>
                <a:schemeClr val="bg1"/>
              </a:solidFill>
              <a:latin typeface="Californian FB" panose="0207040306080B030204" pitchFamily="18" charset="0"/>
              <a:ea typeface="+mn-ea"/>
              <a:cs typeface="+mn-cs"/>
            </a:rPr>
            <a:pPr marL="0" indent="0" algn="ctr"/>
            <a:t> Amount</a:t>
          </a:fld>
          <a:endParaRPr lang="en-IN" sz="1600" b="1" i="0" u="none" strike="noStrike">
            <a:solidFill>
              <a:schemeClr val="bg1"/>
            </a:solidFill>
            <a:latin typeface="Californian FB" panose="0207040306080B030204" pitchFamily="18" charset="0"/>
            <a:ea typeface="+mn-ea"/>
            <a:cs typeface="+mn-cs"/>
          </a:endParaRPr>
        </a:p>
      </xdr:txBody>
    </xdr:sp>
    <xdr:clientData/>
  </xdr:twoCellAnchor>
  <xdr:twoCellAnchor>
    <xdr:from>
      <xdr:col>1</xdr:col>
      <xdr:colOff>694076</xdr:colOff>
      <xdr:row>13</xdr:row>
      <xdr:rowOff>122275</xdr:rowOff>
    </xdr:from>
    <xdr:to>
      <xdr:col>1</xdr:col>
      <xdr:colOff>1547516</xdr:colOff>
      <xdr:row>15</xdr:row>
      <xdr:rowOff>38455</xdr:rowOff>
    </xdr:to>
    <xdr:sp macro="" textlink="Analysis!I4">
      <xdr:nvSpPr>
        <xdr:cNvPr id="11" name="TextBox 10">
          <a:extLst>
            <a:ext uri="{FF2B5EF4-FFF2-40B4-BE49-F238E27FC236}">
              <a16:creationId xmlns:a16="http://schemas.microsoft.com/office/drawing/2014/main" id="{589F947B-01CF-49D9-B89D-DA82C9699C00}"/>
            </a:ext>
          </a:extLst>
        </xdr:cNvPr>
        <xdr:cNvSpPr txBox="1"/>
      </xdr:nvSpPr>
      <xdr:spPr>
        <a:xfrm>
          <a:off x="922676" y="1900275"/>
          <a:ext cx="853440" cy="27178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marL="0" indent="0" algn="ctr"/>
          <a:fld id="{2174FC60-49F6-40BD-840F-5F984A993B3A}" type="TxLink">
            <a:rPr lang="en-US" sz="1600" b="1" i="0" u="none" strike="noStrike">
              <a:solidFill>
                <a:schemeClr val="bg1"/>
              </a:solidFill>
              <a:latin typeface="Aptos Narrow"/>
              <a:ea typeface="+mn-ea"/>
              <a:cs typeface="+mn-cs"/>
            </a:rPr>
            <a:pPr marL="0" indent="0" algn="ctr"/>
            <a:t>$649.0k</a:t>
          </a:fld>
          <a:endParaRPr lang="en-IN" sz="1600" b="1" i="0" u="none" strike="noStrike">
            <a:solidFill>
              <a:schemeClr val="bg1"/>
            </a:solidFill>
            <a:latin typeface="Aptos Narrow"/>
            <a:ea typeface="+mn-ea"/>
            <a:cs typeface="+mn-cs"/>
          </a:endParaRPr>
        </a:p>
      </xdr:txBody>
    </xdr:sp>
    <xdr:clientData/>
  </xdr:twoCellAnchor>
  <xdr:twoCellAnchor>
    <xdr:from>
      <xdr:col>1</xdr:col>
      <xdr:colOff>328322</xdr:colOff>
      <xdr:row>14</xdr:row>
      <xdr:rowOff>142566</xdr:rowOff>
    </xdr:from>
    <xdr:to>
      <xdr:col>3</xdr:col>
      <xdr:colOff>97170</xdr:colOff>
      <xdr:row>16</xdr:row>
      <xdr:rowOff>148268</xdr:rowOff>
    </xdr:to>
    <xdr:sp macro="" textlink="Analysis!J3">
      <xdr:nvSpPr>
        <xdr:cNvPr id="12" name="TextBox 11">
          <a:extLst>
            <a:ext uri="{FF2B5EF4-FFF2-40B4-BE49-F238E27FC236}">
              <a16:creationId xmlns:a16="http://schemas.microsoft.com/office/drawing/2014/main" id="{A7CB6EB8-0999-4896-8E92-A9FE104A8043}"/>
            </a:ext>
          </a:extLst>
        </xdr:cNvPr>
        <xdr:cNvSpPr txBox="1"/>
      </xdr:nvSpPr>
      <xdr:spPr>
        <a:xfrm>
          <a:off x="556922" y="2098366"/>
          <a:ext cx="1711948" cy="36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2F196F-7197-41FA-808B-7BB30BD1CA30}" type="TxLink">
            <a:rPr lang="en-US" sz="1400" b="1" i="0" u="none" strike="noStrike">
              <a:solidFill>
                <a:schemeClr val="bg1"/>
              </a:solidFill>
              <a:latin typeface="Californian FB" panose="0207040306080B030204" pitchFamily="18" charset="0"/>
              <a:ea typeface="+mn-ea"/>
              <a:cs typeface="+mn-cs"/>
            </a:rPr>
            <a:pPr marL="0" indent="0" algn="ctr"/>
            <a:t>Avg.Days to Deliver</a:t>
          </a:fld>
          <a:endParaRPr lang="en-IN" sz="1400" b="1" i="0" u="none" strike="noStrike">
            <a:solidFill>
              <a:schemeClr val="bg1"/>
            </a:solidFill>
            <a:latin typeface="Californian FB" panose="0207040306080B030204" pitchFamily="18" charset="0"/>
            <a:ea typeface="+mn-ea"/>
            <a:cs typeface="+mn-cs"/>
          </a:endParaRPr>
        </a:p>
      </xdr:txBody>
    </xdr:sp>
    <xdr:clientData/>
  </xdr:twoCellAnchor>
  <xdr:twoCellAnchor>
    <xdr:from>
      <xdr:col>1</xdr:col>
      <xdr:colOff>777896</xdr:colOff>
      <xdr:row>16</xdr:row>
      <xdr:rowOff>99979</xdr:rowOff>
    </xdr:from>
    <xdr:to>
      <xdr:col>1</xdr:col>
      <xdr:colOff>1463696</xdr:colOff>
      <xdr:row>18</xdr:row>
      <xdr:rowOff>16159</xdr:rowOff>
    </xdr:to>
    <xdr:sp macro="" textlink="Analysis!J4">
      <xdr:nvSpPr>
        <xdr:cNvPr id="13" name="TextBox 12">
          <a:extLst>
            <a:ext uri="{FF2B5EF4-FFF2-40B4-BE49-F238E27FC236}">
              <a16:creationId xmlns:a16="http://schemas.microsoft.com/office/drawing/2014/main" id="{2D19FA20-3262-4871-A0F3-EC94CCD8E0A7}"/>
            </a:ext>
          </a:extLst>
        </xdr:cNvPr>
        <xdr:cNvSpPr txBox="1"/>
      </xdr:nvSpPr>
      <xdr:spPr>
        <a:xfrm>
          <a:off x="1006496" y="2411379"/>
          <a:ext cx="685800" cy="27178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marL="0" indent="0" algn="ctr"/>
          <a:fld id="{2CC04407-C3A4-417A-8A59-25A5863C2EA4}" type="TxLink">
            <a:rPr lang="en-US" sz="1600" b="1" i="0" u="none" strike="noStrike">
              <a:solidFill>
                <a:schemeClr val="bg1"/>
              </a:solidFill>
              <a:latin typeface="Aptos Narrow"/>
              <a:ea typeface="+mn-ea"/>
              <a:cs typeface="+mn-cs"/>
            </a:rPr>
            <a:pPr marL="0" indent="0" algn="ctr"/>
            <a:t>2.3</a:t>
          </a:fld>
          <a:endParaRPr lang="en-IN" sz="1600" b="1" i="0" u="none" strike="noStrike">
            <a:solidFill>
              <a:schemeClr val="bg1"/>
            </a:solidFill>
            <a:latin typeface="Aptos Narrow"/>
            <a:ea typeface="+mn-ea"/>
            <a:cs typeface="+mn-cs"/>
          </a:endParaRPr>
        </a:p>
      </xdr:txBody>
    </xdr:sp>
    <xdr:clientData/>
  </xdr:twoCellAnchor>
  <xdr:twoCellAnchor>
    <xdr:from>
      <xdr:col>1</xdr:col>
      <xdr:colOff>436272</xdr:colOff>
      <xdr:row>17</xdr:row>
      <xdr:rowOff>158370</xdr:rowOff>
    </xdr:from>
    <xdr:to>
      <xdr:col>2</xdr:col>
      <xdr:colOff>90820</xdr:colOff>
      <xdr:row>20</xdr:row>
      <xdr:rowOff>27966</xdr:rowOff>
    </xdr:to>
    <xdr:sp macro="" textlink="Analysis!K3">
      <xdr:nvSpPr>
        <xdr:cNvPr id="14" name="TextBox 13">
          <a:extLst>
            <a:ext uri="{FF2B5EF4-FFF2-40B4-BE49-F238E27FC236}">
              <a16:creationId xmlns:a16="http://schemas.microsoft.com/office/drawing/2014/main" id="{341FE9A5-2316-4E03-8C48-14AACFD77EAE}"/>
            </a:ext>
          </a:extLst>
        </xdr:cNvPr>
        <xdr:cNvSpPr txBox="1"/>
      </xdr:nvSpPr>
      <xdr:spPr>
        <a:xfrm>
          <a:off x="664872" y="2647570"/>
          <a:ext cx="1343648" cy="40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66DFDD-A2A3-4E70-8B97-FE413DA73444}" type="TxLink">
            <a:rPr lang="en-US" sz="1600" b="1" i="0" u="none" strike="noStrike">
              <a:solidFill>
                <a:schemeClr val="bg1"/>
              </a:solidFill>
              <a:latin typeface="Californian FB" panose="0207040306080B030204" pitchFamily="18" charset="0"/>
              <a:ea typeface="+mn-ea"/>
              <a:cs typeface="+mn-cs"/>
            </a:rPr>
            <a:pPr marL="0" indent="0" algn="ctr"/>
            <a:t>Avg.Rating C</a:t>
          </a:fld>
          <a:endParaRPr lang="en-IN" sz="1600" b="1" i="0" u="none" strike="noStrike">
            <a:solidFill>
              <a:schemeClr val="bg1"/>
            </a:solidFill>
            <a:latin typeface="Californian FB" panose="0207040306080B030204" pitchFamily="18" charset="0"/>
            <a:ea typeface="+mn-ea"/>
            <a:cs typeface="+mn-cs"/>
          </a:endParaRPr>
        </a:p>
      </xdr:txBody>
    </xdr:sp>
    <xdr:clientData/>
  </xdr:twoCellAnchor>
  <xdr:twoCellAnchor>
    <xdr:from>
      <xdr:col>1</xdr:col>
      <xdr:colOff>765196</xdr:colOff>
      <xdr:row>19</xdr:row>
      <xdr:rowOff>144780</xdr:rowOff>
    </xdr:from>
    <xdr:to>
      <xdr:col>1</xdr:col>
      <xdr:colOff>1450996</xdr:colOff>
      <xdr:row>21</xdr:row>
      <xdr:rowOff>60960</xdr:rowOff>
    </xdr:to>
    <xdr:sp macro="" textlink="Analysis!K4">
      <xdr:nvSpPr>
        <xdr:cNvPr id="15" name="TextBox 14">
          <a:extLst>
            <a:ext uri="{FF2B5EF4-FFF2-40B4-BE49-F238E27FC236}">
              <a16:creationId xmlns:a16="http://schemas.microsoft.com/office/drawing/2014/main" id="{1EA9FCF2-060A-4550-814D-3FB062ED28A4}"/>
            </a:ext>
          </a:extLst>
        </xdr:cNvPr>
        <xdr:cNvSpPr txBox="1"/>
      </xdr:nvSpPr>
      <xdr:spPr>
        <a:xfrm>
          <a:off x="993796" y="2989580"/>
          <a:ext cx="685800" cy="27178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marL="0" indent="0" algn="ctr"/>
          <a:fld id="{6376F760-B153-4317-85A4-8E4DF2DBF19B}" type="TxLink">
            <a:rPr lang="en-US" sz="1600" b="1" i="0" u="none" strike="noStrike">
              <a:solidFill>
                <a:schemeClr val="bg1"/>
              </a:solidFill>
              <a:latin typeface="Aptos Narrow"/>
              <a:ea typeface="+mn-ea"/>
              <a:cs typeface="+mn-cs"/>
            </a:rPr>
            <a:pPr marL="0" indent="0" algn="ctr"/>
            <a:t>4.0</a:t>
          </a:fld>
          <a:endParaRPr lang="en-IN" sz="1600" b="1" i="0" u="none" strike="noStrike">
            <a:solidFill>
              <a:schemeClr val="bg1"/>
            </a:solidFill>
            <a:latin typeface="Aptos Narrow"/>
            <a:ea typeface="+mn-ea"/>
            <a:cs typeface="+mn-cs"/>
          </a:endParaRPr>
        </a:p>
      </xdr:txBody>
    </xdr:sp>
    <xdr:clientData/>
  </xdr:twoCellAnchor>
  <xdr:twoCellAnchor>
    <xdr:from>
      <xdr:col>1</xdr:col>
      <xdr:colOff>289560</xdr:colOff>
      <xdr:row>9</xdr:row>
      <xdr:rowOff>53340</xdr:rowOff>
    </xdr:from>
    <xdr:to>
      <xdr:col>1</xdr:col>
      <xdr:colOff>975360</xdr:colOff>
      <xdr:row>10</xdr:row>
      <xdr:rowOff>144780</xdr:rowOff>
    </xdr:to>
    <xdr:sp macro="" textlink="Analysis!H3">
      <xdr:nvSpPr>
        <xdr:cNvPr id="17" name="TextBox 16">
          <a:extLst>
            <a:ext uri="{FF2B5EF4-FFF2-40B4-BE49-F238E27FC236}">
              <a16:creationId xmlns:a16="http://schemas.microsoft.com/office/drawing/2014/main" id="{A4BB08FB-9382-499C-8788-D3A4BECD286F}"/>
            </a:ext>
          </a:extLst>
        </xdr:cNvPr>
        <xdr:cNvSpPr txBox="1"/>
      </xdr:nvSpPr>
      <xdr:spPr>
        <a:xfrm>
          <a:off x="541020" y="1104900"/>
          <a:ext cx="685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545DBF-246B-4512-8083-5125140B10A5}" type="TxLink">
            <a:rPr lang="en-US" sz="1100" b="0" i="0" u="none" strike="noStrike">
              <a:solidFill>
                <a:srgbClr val="000000"/>
              </a:solidFill>
              <a:latin typeface="Aptos Narrow"/>
            </a:rPr>
            <a:pPr algn="ctr"/>
            <a:t> Quantity</a:t>
          </a:fld>
          <a:endParaRPr lang="en-IN" sz="1200" b="1">
            <a:solidFill>
              <a:schemeClr val="accent1"/>
            </a:solidFill>
            <a:latin typeface="Californian FB" panose="0207040306080B030204" pitchFamily="18" charset="0"/>
          </a:endParaRPr>
        </a:p>
      </xdr:txBody>
    </xdr:sp>
    <xdr:clientData/>
  </xdr:twoCellAnchor>
  <xdr:twoCellAnchor>
    <xdr:from>
      <xdr:col>1</xdr:col>
      <xdr:colOff>598796</xdr:colOff>
      <xdr:row>9</xdr:row>
      <xdr:rowOff>14502</xdr:rowOff>
    </xdr:from>
    <xdr:to>
      <xdr:col>1</xdr:col>
      <xdr:colOff>1642796</xdr:colOff>
      <xdr:row>11</xdr:row>
      <xdr:rowOff>23982</xdr:rowOff>
    </xdr:to>
    <xdr:sp macro="" textlink="Analysis!H3">
      <xdr:nvSpPr>
        <xdr:cNvPr id="18" name="TextBox 17">
          <a:extLst>
            <a:ext uri="{FF2B5EF4-FFF2-40B4-BE49-F238E27FC236}">
              <a16:creationId xmlns:a16="http://schemas.microsoft.com/office/drawing/2014/main" id="{22186964-E0BF-4AC8-A57E-F1B80B66DF3E}"/>
            </a:ext>
          </a:extLst>
        </xdr:cNvPr>
        <xdr:cNvSpPr txBox="1"/>
      </xdr:nvSpPr>
      <xdr:spPr>
        <a:xfrm>
          <a:off x="827396" y="1081302"/>
          <a:ext cx="1044000" cy="36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7DB072-98AC-439C-8C7C-3F5879C8FB06}" type="TxLink">
            <a:rPr lang="en-US" sz="1600" b="1" i="0" u="none" strike="noStrike">
              <a:solidFill>
                <a:schemeClr val="bg1"/>
              </a:solidFill>
              <a:latin typeface="Californian FB" panose="0207040306080B030204" pitchFamily="18" charset="0"/>
              <a:ea typeface="+mn-ea"/>
              <a:cs typeface="+mn-cs"/>
            </a:rPr>
            <a:pPr marL="0" indent="0" algn="ctr"/>
            <a:t> Quantity</a:t>
          </a:fld>
          <a:endParaRPr lang="en-IN" sz="1600" b="1" i="0" u="none" strike="noStrike">
            <a:solidFill>
              <a:schemeClr val="bg1"/>
            </a:solidFill>
            <a:latin typeface="Californian FB" panose="0207040306080B030204" pitchFamily="18" charset="0"/>
            <a:ea typeface="+mn-ea"/>
            <a:cs typeface="+mn-cs"/>
          </a:endParaRPr>
        </a:p>
      </xdr:txBody>
    </xdr:sp>
    <xdr:clientData/>
  </xdr:twoCellAnchor>
  <xdr:twoCellAnchor editAs="oneCell">
    <xdr:from>
      <xdr:col>0</xdr:col>
      <xdr:colOff>182759</xdr:colOff>
      <xdr:row>15</xdr:row>
      <xdr:rowOff>51520</xdr:rowOff>
    </xdr:from>
    <xdr:to>
      <xdr:col>1</xdr:col>
      <xdr:colOff>393779</xdr:colOff>
      <xdr:row>17</xdr:row>
      <xdr:rowOff>133000</xdr:rowOff>
    </xdr:to>
    <xdr:pic>
      <xdr:nvPicPr>
        <xdr:cNvPr id="23" name="Picture 22">
          <a:extLst>
            <a:ext uri="{FF2B5EF4-FFF2-40B4-BE49-F238E27FC236}">
              <a16:creationId xmlns:a16="http://schemas.microsoft.com/office/drawing/2014/main" id="{3B6A52D0-EE86-4EAE-A660-43B312C98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59" y="2154640"/>
          <a:ext cx="432000" cy="432000"/>
        </a:xfrm>
        <a:prstGeom prst="rect">
          <a:avLst/>
        </a:prstGeom>
      </xdr:spPr>
    </xdr:pic>
    <xdr:clientData/>
  </xdr:twoCellAnchor>
  <xdr:twoCellAnchor editAs="oneCell">
    <xdr:from>
      <xdr:col>0</xdr:col>
      <xdr:colOff>189664</xdr:colOff>
      <xdr:row>18</xdr:row>
      <xdr:rowOff>86360</xdr:rowOff>
    </xdr:from>
    <xdr:to>
      <xdr:col>1</xdr:col>
      <xdr:colOff>400684</xdr:colOff>
      <xdr:row>20</xdr:row>
      <xdr:rowOff>167840</xdr:rowOff>
    </xdr:to>
    <xdr:pic>
      <xdr:nvPicPr>
        <xdr:cNvPr id="25" name="Picture 24">
          <a:extLst>
            <a:ext uri="{FF2B5EF4-FFF2-40B4-BE49-F238E27FC236}">
              <a16:creationId xmlns:a16="http://schemas.microsoft.com/office/drawing/2014/main" id="{48F7B26B-0E30-4EC3-92AD-3ACDC469EA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9664" y="2753360"/>
          <a:ext cx="439620" cy="437080"/>
        </a:xfrm>
        <a:prstGeom prst="rect">
          <a:avLst/>
        </a:prstGeom>
      </xdr:spPr>
    </xdr:pic>
    <xdr:clientData/>
  </xdr:twoCellAnchor>
  <xdr:twoCellAnchor editAs="oneCell">
    <xdr:from>
      <xdr:col>0</xdr:col>
      <xdr:colOff>220554</xdr:colOff>
      <xdr:row>12</xdr:row>
      <xdr:rowOff>117670</xdr:rowOff>
    </xdr:from>
    <xdr:to>
      <xdr:col>1</xdr:col>
      <xdr:colOff>431574</xdr:colOff>
      <xdr:row>15</xdr:row>
      <xdr:rowOff>23890</xdr:rowOff>
    </xdr:to>
    <xdr:pic>
      <xdr:nvPicPr>
        <xdr:cNvPr id="27" name="Picture 26">
          <a:extLst>
            <a:ext uri="{FF2B5EF4-FFF2-40B4-BE49-F238E27FC236}">
              <a16:creationId xmlns:a16="http://schemas.microsoft.com/office/drawing/2014/main" id="{AD6767BD-6BAC-4ABF-9C92-6525D80DAB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0554" y="1695010"/>
          <a:ext cx="432000" cy="432000"/>
        </a:xfrm>
        <a:prstGeom prst="rect">
          <a:avLst/>
        </a:prstGeom>
      </xdr:spPr>
    </xdr:pic>
    <xdr:clientData/>
  </xdr:twoCellAnchor>
  <xdr:twoCellAnchor editAs="oneCell">
    <xdr:from>
      <xdr:col>0</xdr:col>
      <xdr:colOff>189524</xdr:colOff>
      <xdr:row>9</xdr:row>
      <xdr:rowOff>121760</xdr:rowOff>
    </xdr:from>
    <xdr:to>
      <xdr:col>1</xdr:col>
      <xdr:colOff>400544</xdr:colOff>
      <xdr:row>12</xdr:row>
      <xdr:rowOff>27980</xdr:rowOff>
    </xdr:to>
    <xdr:pic>
      <xdr:nvPicPr>
        <xdr:cNvPr id="29" name="Picture 28">
          <a:extLst>
            <a:ext uri="{FF2B5EF4-FFF2-40B4-BE49-F238E27FC236}">
              <a16:creationId xmlns:a16="http://schemas.microsoft.com/office/drawing/2014/main" id="{C7521D12-326D-4CE2-8D77-D0CD6194089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9524" y="1173320"/>
          <a:ext cx="432000" cy="432000"/>
        </a:xfrm>
        <a:prstGeom prst="rect">
          <a:avLst/>
        </a:prstGeom>
      </xdr:spPr>
    </xdr:pic>
    <xdr:clientData/>
  </xdr:twoCellAnchor>
  <xdr:twoCellAnchor editAs="oneCell">
    <xdr:from>
      <xdr:col>0</xdr:col>
      <xdr:colOff>183749</xdr:colOff>
      <xdr:row>6</xdr:row>
      <xdr:rowOff>114300</xdr:rowOff>
    </xdr:from>
    <xdr:to>
      <xdr:col>1</xdr:col>
      <xdr:colOff>394769</xdr:colOff>
      <xdr:row>9</xdr:row>
      <xdr:rowOff>20520</xdr:rowOff>
    </xdr:to>
    <xdr:pic>
      <xdr:nvPicPr>
        <xdr:cNvPr id="31" name="Picture 30">
          <a:extLst>
            <a:ext uri="{FF2B5EF4-FFF2-40B4-BE49-F238E27FC236}">
              <a16:creationId xmlns:a16="http://schemas.microsoft.com/office/drawing/2014/main" id="{36341A34-2F40-43A2-A593-1B78FF9820C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3749" y="640080"/>
          <a:ext cx="432000" cy="432000"/>
        </a:xfrm>
        <a:prstGeom prst="rect">
          <a:avLst/>
        </a:prstGeom>
      </xdr:spPr>
    </xdr:pic>
    <xdr:clientData/>
  </xdr:twoCellAnchor>
  <xdr:twoCellAnchor>
    <xdr:from>
      <xdr:col>3</xdr:col>
      <xdr:colOff>84221</xdr:colOff>
      <xdr:row>3</xdr:row>
      <xdr:rowOff>56147</xdr:rowOff>
    </xdr:from>
    <xdr:to>
      <xdr:col>10</xdr:col>
      <xdr:colOff>396240</xdr:colOff>
      <xdr:row>16</xdr:row>
      <xdr:rowOff>25401</xdr:rowOff>
    </xdr:to>
    <xdr:graphicFrame macro="">
      <xdr:nvGraphicFramePr>
        <xdr:cNvPr id="37" name="Chart 36">
          <a:extLst>
            <a:ext uri="{FF2B5EF4-FFF2-40B4-BE49-F238E27FC236}">
              <a16:creationId xmlns:a16="http://schemas.microsoft.com/office/drawing/2014/main" id="{40AD2164-36DE-4D9C-B295-0145D03DB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472440</xdr:colOff>
      <xdr:row>3</xdr:row>
      <xdr:rowOff>50800</xdr:rowOff>
    </xdr:from>
    <xdr:to>
      <xdr:col>17</xdr:col>
      <xdr:colOff>624840</xdr:colOff>
      <xdr:row>16</xdr:row>
      <xdr:rowOff>50800</xdr:rowOff>
    </xdr:to>
    <xdr:sp macro="" textlink="">
      <xdr:nvSpPr>
        <xdr:cNvPr id="45" name="Rectangle 44">
          <a:extLst>
            <a:ext uri="{FF2B5EF4-FFF2-40B4-BE49-F238E27FC236}">
              <a16:creationId xmlns:a16="http://schemas.microsoft.com/office/drawing/2014/main" id="{780E9BFD-3172-4BAC-9CC2-A8CFA1ADF544}"/>
            </a:ext>
          </a:extLst>
        </xdr:cNvPr>
        <xdr:cNvSpPr/>
      </xdr:nvSpPr>
      <xdr:spPr>
        <a:xfrm>
          <a:off x="6964680" y="50800"/>
          <a:ext cx="4846320" cy="2377440"/>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548640</xdr:colOff>
          <xdr:row>5</xdr:row>
          <xdr:rowOff>121920</xdr:rowOff>
        </xdr:from>
        <xdr:to>
          <xdr:col>17</xdr:col>
          <xdr:colOff>533400</xdr:colOff>
          <xdr:row>15</xdr:row>
          <xdr:rowOff>101600</xdr:rowOff>
        </xdr:to>
        <xdr:pic>
          <xdr:nvPicPr>
            <xdr:cNvPr id="44" name="Picture 43">
              <a:extLst>
                <a:ext uri="{FF2B5EF4-FFF2-40B4-BE49-F238E27FC236}">
                  <a16:creationId xmlns:a16="http://schemas.microsoft.com/office/drawing/2014/main" id="{48A03EA2-9F06-4C21-8F95-5BA3C02204BC}"/>
                </a:ext>
              </a:extLst>
            </xdr:cNvPr>
            <xdr:cNvPicPr>
              <a:picLocks noChangeAspect="1" noChangeArrowheads="1"/>
              <a:extLst>
                <a:ext uri="{84589F7E-364E-4C9E-8A38-B11213B215E9}">
                  <a14:cameraTool cellRange="Analysis!$K$9:$O$14" spid="_x0000_s1068"/>
                </a:ext>
              </a:extLst>
            </xdr:cNvPicPr>
          </xdr:nvPicPr>
          <xdr:blipFill>
            <a:blip xmlns:r="http://schemas.openxmlformats.org/officeDocument/2006/relationships" r:embed="rId7"/>
            <a:srcRect/>
            <a:stretch>
              <a:fillRect/>
            </a:stretch>
          </xdr:blipFill>
          <xdr:spPr bwMode="auto">
            <a:xfrm>
              <a:off x="7040880" y="487680"/>
              <a:ext cx="4678680" cy="180848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18</xdr:col>
      <xdr:colOff>114300</xdr:colOff>
      <xdr:row>3</xdr:row>
      <xdr:rowOff>68580</xdr:rowOff>
    </xdr:from>
    <xdr:to>
      <xdr:col>25</xdr:col>
      <xdr:colOff>121920</xdr:colOff>
      <xdr:row>15</xdr:row>
      <xdr:rowOff>161223</xdr:rowOff>
    </xdr:to>
    <xdr:graphicFrame macro="">
      <xdr:nvGraphicFramePr>
        <xdr:cNvPr id="46" name="Chart 45">
          <a:extLst>
            <a:ext uri="{FF2B5EF4-FFF2-40B4-BE49-F238E27FC236}">
              <a16:creationId xmlns:a16="http://schemas.microsoft.com/office/drawing/2014/main" id="{51E33283-BC89-43C0-88C9-9F6E41AC4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104140</xdr:colOff>
      <xdr:row>17</xdr:row>
      <xdr:rowOff>0</xdr:rowOff>
    </xdr:from>
    <xdr:to>
      <xdr:col>10</xdr:col>
      <xdr:colOff>401320</xdr:colOff>
      <xdr:row>45</xdr:row>
      <xdr:rowOff>0</xdr:rowOff>
    </xdr:to>
    <xdr:graphicFrame macro="">
      <xdr:nvGraphicFramePr>
        <xdr:cNvPr id="47" name="Chart 46">
          <a:extLst>
            <a:ext uri="{FF2B5EF4-FFF2-40B4-BE49-F238E27FC236}">
              <a16:creationId xmlns:a16="http://schemas.microsoft.com/office/drawing/2014/main" id="{EA98C49C-F1CE-49CB-9D26-0995BB59B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101600</xdr:colOff>
      <xdr:row>33</xdr:row>
      <xdr:rowOff>132080</xdr:rowOff>
    </xdr:from>
    <xdr:to>
      <xdr:col>8</xdr:col>
      <xdr:colOff>459740</xdr:colOff>
      <xdr:row>42</xdr:row>
      <xdr:rowOff>147320</xdr:rowOff>
    </xdr:to>
    <xdr:graphicFrame macro="">
      <xdr:nvGraphicFramePr>
        <xdr:cNvPr id="48" name="Chart 47">
          <a:extLst>
            <a:ext uri="{FF2B5EF4-FFF2-40B4-BE49-F238E27FC236}">
              <a16:creationId xmlns:a16="http://schemas.microsoft.com/office/drawing/2014/main" id="{AD950BA9-5F86-4423-881A-31E60DDD6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487680</xdr:colOff>
      <xdr:row>16</xdr:row>
      <xdr:rowOff>152400</xdr:rowOff>
    </xdr:from>
    <xdr:to>
      <xdr:col>17</xdr:col>
      <xdr:colOff>624840</xdr:colOff>
      <xdr:row>45</xdr:row>
      <xdr:rowOff>0</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7909BB77-EA7D-4747-A85C-10CF432DB0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934200" y="3078480"/>
              <a:ext cx="4831080" cy="5151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223520</xdr:colOff>
      <xdr:row>23</xdr:row>
      <xdr:rowOff>48260</xdr:rowOff>
    </xdr:from>
    <xdr:to>
      <xdr:col>17</xdr:col>
      <xdr:colOff>27940</xdr:colOff>
      <xdr:row>31</xdr:row>
      <xdr:rowOff>116840</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DAB869F0-7037-45EA-A6F1-46CE6D77F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022840" y="4254500"/>
              <a:ext cx="1145540" cy="1531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77002</xdr:colOff>
      <xdr:row>16</xdr:row>
      <xdr:rowOff>91440</xdr:rowOff>
    </xdr:from>
    <xdr:to>
      <xdr:col>25</xdr:col>
      <xdr:colOff>121920</xdr:colOff>
      <xdr:row>30</xdr:row>
      <xdr:rowOff>167640</xdr:rowOff>
    </xdr:to>
    <xdr:graphicFrame macro="">
      <xdr:nvGraphicFramePr>
        <xdr:cNvPr id="52" name="Chart 51">
          <a:extLst>
            <a:ext uri="{FF2B5EF4-FFF2-40B4-BE49-F238E27FC236}">
              <a16:creationId xmlns:a16="http://schemas.microsoft.com/office/drawing/2014/main" id="{88B59B4A-BD39-4A7E-82D4-E72E2CDC4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106680</xdr:colOff>
      <xdr:row>31</xdr:row>
      <xdr:rowOff>45720</xdr:rowOff>
    </xdr:from>
    <xdr:to>
      <xdr:col>25</xdr:col>
      <xdr:colOff>121920</xdr:colOff>
      <xdr:row>45</xdr:row>
      <xdr:rowOff>15240</xdr:rowOff>
    </xdr:to>
    <xdr:graphicFrame macro="">
      <xdr:nvGraphicFramePr>
        <xdr:cNvPr id="57" name="Chart 56">
          <a:extLst>
            <a:ext uri="{FF2B5EF4-FFF2-40B4-BE49-F238E27FC236}">
              <a16:creationId xmlns:a16="http://schemas.microsoft.com/office/drawing/2014/main" id="{9AC12CC2-3928-4373-BE48-74CAE6135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149860</xdr:colOff>
      <xdr:row>22</xdr:row>
      <xdr:rowOff>101600</xdr:rowOff>
    </xdr:from>
    <xdr:to>
      <xdr:col>2</xdr:col>
      <xdr:colOff>58420</xdr:colOff>
      <xdr:row>31</xdr:row>
      <xdr:rowOff>2539</xdr:rowOff>
    </xdr:to>
    <mc:AlternateContent xmlns:mc="http://schemas.openxmlformats.org/markup-compatibility/2006" xmlns:a14="http://schemas.microsoft.com/office/drawing/2010/main">
      <mc:Choice Requires="a14">
        <xdr:graphicFrame macro="">
          <xdr:nvGraphicFramePr>
            <xdr:cNvPr id="58" name="Gender Value">
              <a:extLst>
                <a:ext uri="{FF2B5EF4-FFF2-40B4-BE49-F238E27FC236}">
                  <a16:creationId xmlns:a16="http://schemas.microsoft.com/office/drawing/2014/main" id="{078562B9-9A33-4E1B-BBE6-EFE6E145BBB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49860" y="3479800"/>
              <a:ext cx="182626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180340</xdr:colOff>
      <xdr:row>32</xdr:row>
      <xdr:rowOff>116840</xdr:rowOff>
    </xdr:from>
    <xdr:to>
      <xdr:col>2</xdr:col>
      <xdr:colOff>88900</xdr:colOff>
      <xdr:row>42</xdr:row>
      <xdr:rowOff>139699</xdr:rowOff>
    </xdr:to>
    <mc:AlternateContent xmlns:mc="http://schemas.openxmlformats.org/markup-compatibility/2006" xmlns:a14="http://schemas.microsoft.com/office/drawing/2010/main">
      <mc:Choice Requires="a14">
        <xdr:graphicFrame macro="">
          <xdr:nvGraphicFramePr>
            <xdr:cNvPr id="59" name="Order Mode">
              <a:extLst>
                <a:ext uri="{FF2B5EF4-FFF2-40B4-BE49-F238E27FC236}">
                  <a16:creationId xmlns:a16="http://schemas.microsoft.com/office/drawing/2014/main" id="{B6059B88-AE9E-4415-ADDD-A182B3BE5BA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80340" y="5273040"/>
              <a:ext cx="1826260" cy="1800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137160</xdr:colOff>
      <xdr:row>3</xdr:row>
      <xdr:rowOff>76200</xdr:rowOff>
    </xdr:from>
    <xdr:to>
      <xdr:col>17</xdr:col>
      <xdr:colOff>320040</xdr:colOff>
      <xdr:row>5</xdr:row>
      <xdr:rowOff>15240</xdr:rowOff>
    </xdr:to>
    <xdr:sp macro="" textlink="">
      <xdr:nvSpPr>
        <xdr:cNvPr id="60" name="TextBox 59">
          <a:extLst>
            <a:ext uri="{FF2B5EF4-FFF2-40B4-BE49-F238E27FC236}">
              <a16:creationId xmlns:a16="http://schemas.microsoft.com/office/drawing/2014/main" id="{2A5A4477-BD5D-4878-8F4C-DDF35D32FED3}"/>
            </a:ext>
          </a:extLst>
        </xdr:cNvPr>
        <xdr:cNvSpPr txBox="1"/>
      </xdr:nvSpPr>
      <xdr:spPr>
        <a:xfrm>
          <a:off x="7299960" y="76200"/>
          <a:ext cx="42062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How</a:t>
          </a:r>
          <a:r>
            <a:rPr lang="en-IN" sz="1400" b="1" baseline="0"/>
            <a:t> They Like To Buy</a:t>
          </a:r>
          <a:endParaRPr lang="en-IN" sz="1400" b="1"/>
        </a:p>
      </xdr:txBody>
    </xdr:sp>
    <xdr:clientData/>
  </xdr:twoCellAnchor>
  <xdr:twoCellAnchor>
    <xdr:from>
      <xdr:col>0</xdr:col>
      <xdr:colOff>190500</xdr:colOff>
      <xdr:row>0</xdr:row>
      <xdr:rowOff>33020</xdr:rowOff>
    </xdr:from>
    <xdr:to>
      <xdr:col>25</xdr:col>
      <xdr:colOff>190500</xdr:colOff>
      <xdr:row>2</xdr:row>
      <xdr:rowOff>104140</xdr:rowOff>
    </xdr:to>
    <xdr:sp macro="" textlink="">
      <xdr:nvSpPr>
        <xdr:cNvPr id="62" name="TextBox 61">
          <a:extLst>
            <a:ext uri="{FF2B5EF4-FFF2-40B4-BE49-F238E27FC236}">
              <a16:creationId xmlns:a16="http://schemas.microsoft.com/office/drawing/2014/main" id="{42F558DA-8A6D-4250-BCC4-3D8D0BDE707B}"/>
            </a:ext>
          </a:extLst>
        </xdr:cNvPr>
        <xdr:cNvSpPr txBox="1"/>
      </xdr:nvSpPr>
      <xdr:spPr>
        <a:xfrm>
          <a:off x="190500" y="33020"/>
          <a:ext cx="16560800" cy="426720"/>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2000" b="1">
              <a:solidFill>
                <a:schemeClr val="bg1"/>
              </a:solidFill>
            </a:rPr>
            <a:t>Ecommerce Product</a:t>
          </a:r>
          <a:r>
            <a:rPr lang="en-IN" sz="2000" b="1" baseline="0">
              <a:solidFill>
                <a:schemeClr val="bg1"/>
              </a:solidFill>
            </a:rPr>
            <a:t> Analysis</a:t>
          </a:r>
          <a:endParaRPr lang="en-IN" sz="20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14.760693055556" backgroundQuery="1" createdVersion="6" refreshedVersion="6" minRefreshableVersion="3" recordCount="0" supportSubquery="1" supportAdvancedDrill="1" xr:uid="{33770F39-10C1-494D-9AFD-059E3C511E94}">
  <cacheSource type="external" connectionId="1"/>
  <cacheFields count="3">
    <cacheField name="[Orders].[Gender Value].[Gender Value]" caption="Gender Value" numFmtId="0" hierarchy="14" level="1">
      <sharedItems count="4">
        <s v="Female"/>
        <s v="Male"/>
        <s v="Other"/>
        <s v="Unknown"/>
      </sharedItems>
    </cacheField>
    <cacheField name="[Orders].[Order Mode].[Order Mode]" caption="Order Mode" numFmtId="0" hierarchy="8" level="1">
      <sharedItems count="5">
        <s v="App"/>
        <s v="Instagram"/>
        <s v="Partner App"/>
        <s v="Target.com"/>
        <s v="Website"/>
      </sharedItems>
    </cacheField>
    <cacheField name="[Measures].[Count of Order Mode]" caption="Count of Order Mode" numFmtId="0" hierarchy="27" level="32767"/>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1"/>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14.76174490741" backgroundQuery="1" createdVersion="6" refreshedVersion="6" minRefreshableVersion="3" recordCount="0" supportSubquery="1" supportAdvancedDrill="1" xr:uid="{22A94C8B-E85F-4F8E-893E-D47BC926FE8A}">
  <cacheSource type="external" connectionId="1"/>
  <cacheFields count="4">
    <cacheField name="[Measures].[Sum of Quantity]" caption="Sum of Quantity" numFmtId="0" hierarchy="20"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Orders].[Gender Value].[Gender Value]" caption="Gender Value" numFmtId="0" hierarchy="14" level="1">
      <sharedItems count="4">
        <s v="Female"/>
        <s v="Male"/>
        <s v="Other"/>
        <s v="Unknown"/>
      </sharedItems>
    </cacheField>
    <cacheField name="[Orders].[Order Mode].[Order Mode]" caption="Order Mode" numFmtId="0" hierarchy="8"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14.7617537037" backgroundQuery="1" createdVersion="6" refreshedVersion="6" minRefreshableVersion="3" recordCount="0" supportSubquery="1" supportAdvancedDrill="1" xr:uid="{76170C33-898A-4CE9-8229-CDD8BAFCF5BC}">
  <cacheSource type="external" connectionId="1"/>
  <cacheFields count="4">
    <cacheField name="[Measures].[Sum of Quantity]" caption="Sum of Quantity" numFmtId="0" hierarchy="20"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Orders].[Gender Value].[Gender Value]" caption="Gender Value" numFmtId="0" hierarchy="14" level="1">
      <sharedItems count="4">
        <s v="Female"/>
        <s v="Male"/>
        <s v="Other"/>
        <s v="Unknown"/>
      </sharedItems>
    </cacheField>
    <cacheField name="[Orders].[Order Mode].[Order Mode]" caption="Order Mode" numFmtId="0" hierarchy="8"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1944444" backgroundQuery="1" createdVersion="6" refreshedVersion="6" minRefreshableVersion="3" recordCount="0" supportSubquery="1" supportAdvancedDrill="1" xr:uid="{AA7BC611-E75D-446E-A0B1-86A759531053}">
  <cacheSource type="external" connectionId="1"/>
  <cacheFields count="5">
    <cacheField name="[Measures].[Sum of Quantity]" caption="Sum of Quantity" numFmtId="0" hierarchy="20" level="32767"/>
    <cacheField name="[Measures].[Sum of Amount]" caption="Sum of Amount" numFmtId="0" hierarchy="26" level="32767"/>
    <cacheField name="[Orders].[County].[County]" caption="County" numFmtId="0" hierarchy="11" level="1">
      <sharedItems count="58">
        <s v="Alameda County"/>
        <s v="Alpine County"/>
        <s v="Amador County"/>
        <s v="Butte County"/>
        <s v="Calaveras County"/>
        <s v="Colusa County"/>
        <s v="Contra Costa County"/>
        <s v="Del Norte County"/>
        <s v="El Dorado County"/>
        <s v="Fresno County"/>
        <s v="Glenn County"/>
        <s v="Humboldt County"/>
        <s v="Imperial County"/>
        <s v="Inyo County"/>
        <s v="Kern County"/>
        <s v="Kings County"/>
        <s v="Lake County"/>
        <s v="Lassen County"/>
        <s v="Los Angeles County"/>
        <s v="Madera County"/>
        <s v="Marin County"/>
        <s v="Mariposa County"/>
        <s v="Mendocino County"/>
        <s v="Merced County"/>
        <s v="Modoc County"/>
        <s v="Mono County"/>
        <s v="Monterey County"/>
        <s v="Napa County"/>
        <s v="Nevada County"/>
        <s v="Orange County"/>
        <s v="Placer County"/>
        <s v="Plumas County"/>
        <s v="Riverside County"/>
        <s v="Sacramento County"/>
        <s v="San Benito County"/>
        <s v="San Bernardino County"/>
        <s v="San Diego County"/>
        <s v="San Francisco"/>
        <s v="San Joaquin County"/>
        <s v="San Luis Obispo County"/>
        <s v="San Mateo County"/>
        <s v="Santa Barbara County"/>
        <s v="Santa Clara County"/>
        <s v="Santa Cruz County"/>
        <s v="Shasta County"/>
        <s v="Sierra County"/>
        <s v="Siskiyou County"/>
        <s v="Solano County"/>
        <s v="Sonoma County"/>
        <s v="Stanislaus County"/>
        <s v="Sutter County"/>
        <s v="Tehama County"/>
        <s v="Trinity County"/>
        <s v="Tulare County"/>
        <s v="Tuolumne County"/>
        <s v="Ventura County"/>
        <s v="Yolo County"/>
        <s v="Yuba County"/>
      </sharedItems>
    </cacheField>
    <cacheField name="[Orders].[State].[State]" caption="State" numFmtId="0" hierarchy="10" level="1">
      <sharedItems count="1">
        <s v="California"/>
      </sharedItems>
    </cacheField>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County]" caption="County" attribute="1" defaultMemberUniqueName="[Orders].[County].[All]" allUniqueName="[Orders].[County].[All]" dimensionUniqueName="[Orders]" displayFolder="" count="2" memberValueDatatype="130" unbalanced="0">
      <fieldsUsage count="2">
        <fieldUsage x="-1"/>
        <fieldUsage x="2"/>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2986114" backgroundQuery="1" createdVersion="6" refreshedVersion="6" minRefreshableVersion="3" recordCount="0" supportSubquery="1" supportAdvancedDrill="1" xr:uid="{B8F4DDF6-1DB2-44ED-8086-E24DB5A8AFAA}">
  <cacheSource type="external" connectionId="1"/>
  <cacheFields count="6">
    <cacheField name="[Measures].[Count of TX ID]" caption="Count of TX ID" numFmtId="0" hierarchy="19" level="32767"/>
    <cacheField name="[Measures].[Sum of Quantity]" caption="Sum of Quantity" numFmtId="0" hierarchy="20" level="32767"/>
    <cacheField name="[Measures].[Average of Rating C]" caption="Average of Rating C" numFmtId="0" hierarchy="24" level="32767"/>
    <cacheField name="[Measures].[Average of Days to Deliver]" caption="Average of Days to Deliver" numFmtId="0" hierarchy="25" level="32767"/>
    <cacheField name="[Measures].[Sum of Amount]" caption="Sum of Amount" numFmtId="0" hierarchy="26" level="32767"/>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5"/>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oneField="1" hidden="1">
      <fieldsUsage count="1">
        <fieldUsage x="4"/>
      </fieldsUsage>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3912038" backgroundQuery="1" createdVersion="6" refreshedVersion="6" minRefreshableVersion="3" recordCount="0" supportSubquery="1" supportAdvancedDrill="1" xr:uid="{21A3B9C1-AA81-488F-8AEE-611800B83467}">
  <cacheSource type="external" connectionId="1"/>
  <cacheFields count="3">
    <cacheField name="[Orders].[Days to Deliver].[Days to Deliver]" caption="Days to Deliver" numFmtId="0" hierarchy="12"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Orders].[Days to Deliver].&amp;[0]"/>
            <x15:cachedUniqueName index="1" name="[Orders].[Days to Deliver].&amp;[1]"/>
            <x15:cachedUniqueName index="2" name="[Orders].[Days to Deliver].&amp;[2]"/>
            <x15:cachedUniqueName index="3" name="[Orders].[Days to Deliver].&amp;[3]"/>
            <x15:cachedUniqueName index="4" name="[Orders].[Days to Deliver].&amp;[4]"/>
            <x15:cachedUniqueName index="5" name="[Orders].[Days to Deliver].&amp;[5]"/>
            <x15:cachedUniqueName index="6" name="[Orders].[Days to Deliver].&amp;[6]"/>
            <x15:cachedUniqueName index="7" name="[Orders].[Days to Deliver].&amp;[7]"/>
            <x15:cachedUniqueName index="8" name="[Orders].[Days to Deliver].&amp;[8]"/>
            <x15:cachedUniqueName index="9" name="[Orders].[Days to Deliver].&amp;[9]"/>
            <x15:cachedUniqueName index="10" name="[Orders].[Days to Deliver].&amp;[10]"/>
            <x15:cachedUniqueName index="11" name="[Orders].[Days to Deliver].&amp;[11]"/>
            <x15:cachedUniqueName index="12" name="[Orders].[Days to Deliver].&amp;[12]"/>
            <x15:cachedUniqueName index="13" name="[Orders].[Days to Deliver].&amp;[13]"/>
            <x15:cachedUniqueName index="14" name="[Orders].[Days to Deliver].&amp;[14]"/>
          </x15:cachedUniqueNames>
        </ext>
      </extLst>
    </cacheField>
    <cacheField name="[Measures].[Count of TX ID]" caption="Count of TX ID" numFmtId="0" hierarchy="19" level="32767"/>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fieldsUsage count="2">
        <fieldUsage x="-1"/>
        <fieldUsage x="0"/>
      </fieldsUsage>
    </cacheHierarchy>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5069446" backgroundQuery="1" createdVersion="6" refreshedVersion="6" minRefreshableVersion="3" recordCount="0" supportSubquery="1" supportAdvancedDrill="1" xr:uid="{8F2C0862-7E2F-4C49-A642-01B34F87CE38}">
  <cacheSource type="external" connectionId="1"/>
  <cacheFields count="4">
    <cacheField name="[Orders].[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Rating C].&amp;[1]"/>
            <x15:cachedUniqueName index="1" name="[Orders].[Rating C].&amp;[2]"/>
            <x15:cachedUniqueName index="2" name="[Orders].[Rating C].&amp;[3]"/>
            <x15:cachedUniqueName index="3" name="[Orders].[Rating C].&amp;[4]"/>
            <x15:cachedUniqueName index="4" name="[Orders].[Rating C].&amp;[5]"/>
          </x15:cachedUniqueNames>
        </ext>
      </extLst>
    </cacheField>
    <cacheField name="[Measures].[Count of TX ID]" caption="Count of TX ID" numFmtId="0" hierarchy="19" level="32767"/>
    <cacheField name="[Orders].[Order Date (Month)].[Order Date (Month)]" caption="Order Date (Month)" numFmtId="0" hierarchy="15" level="1">
      <sharedItems count="3">
        <s v="Jan"/>
        <s v="Feb"/>
        <s v="Mar"/>
      </sharedItems>
    </cacheField>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2" memberValueDatatype="2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6111109" backgroundQuery="1" createdVersion="6" refreshedVersion="6" minRefreshableVersion="3" recordCount="0" supportSubquery="1" supportAdvancedDrill="1" xr:uid="{C8D6A340-5392-4A40-8061-BCF24A7A718A}">
  <cacheSource type="external" connectionId="1"/>
  <cacheFields count="4">
    <cacheField name="[Orders].[Order Mode].[Order Mode]" caption="Order Mode" numFmtId="0" hierarchy="8" level="1">
      <sharedItems count="5">
        <s v="App"/>
        <s v="Instagram"/>
        <s v="Partner App"/>
        <s v="Target.com"/>
        <s v="Website"/>
      </sharedItems>
    </cacheField>
    <cacheField name="[Measures].[Sum of Amount]" caption="Sum of Amount" numFmtId="0" hierarchy="26" level="32767"/>
    <cacheField name="[Measures].[Sum of Quantity]" caption="Sum of Quantity" numFmtId="0" hierarchy="20" level="32767"/>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0"/>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761574" backgroundQuery="1" createdVersion="6" refreshedVersion="6" minRefreshableVersion="3" recordCount="0" supportSubquery="1" supportAdvancedDrill="1" xr:uid="{96106C2B-C29D-498C-8A2A-3D22C2AB798A}">
  <cacheSource type="external" connectionId="1"/>
  <cacheFields count="4">
    <cacheField name="[Measures].[Sum of Quantity]" caption="Sum of Quantity" numFmtId="0" hierarchy="20" level="32767"/>
    <cacheField name="[Measures].[Sum of Amount]" caption="Sum of Amount" numFmtId="0" hierarchy="26" level="32767"/>
    <cacheField name="[Orders].[Weeknum].[Weeknum]" caption="Weeknum" numFmtId="0" hierarchy="13" level="1">
      <sharedItems containsSemiMixedTypes="0" containsString="0" containsNumber="1" containsInteger="1" minValue="1" maxValue="13" count="13">
        <n v="1"/>
        <n v="2"/>
        <n v="3"/>
        <n v="4"/>
        <n v="5"/>
        <n v="6"/>
        <n v="7"/>
        <n v="8"/>
        <n v="9"/>
        <n v="10"/>
        <n v="11"/>
        <n v="12"/>
        <n v="13"/>
      </sharedItems>
      <extLst>
        <ext xmlns:x15="http://schemas.microsoft.com/office/spreadsheetml/2010/11/main" uri="{4F2E5C28-24EA-4eb8-9CBF-B6C8F9C3D259}">
          <x15:cachedUniqueNames>
            <x15:cachedUniqueName index="0" name="[Orders].[Weeknum].&amp;[1]"/>
            <x15:cachedUniqueName index="1" name="[Orders].[Weeknum].&amp;[2]"/>
            <x15:cachedUniqueName index="2" name="[Orders].[Weeknum].&amp;[3]"/>
            <x15:cachedUniqueName index="3" name="[Orders].[Weeknum].&amp;[4]"/>
            <x15:cachedUniqueName index="4" name="[Orders].[Weeknum].&amp;[5]"/>
            <x15:cachedUniqueName index="5" name="[Orders].[Weeknum].&amp;[6]"/>
            <x15:cachedUniqueName index="6" name="[Orders].[Weeknum].&amp;[7]"/>
            <x15:cachedUniqueName index="7" name="[Orders].[Weeknum].&amp;[8]"/>
            <x15:cachedUniqueName index="8" name="[Orders].[Weeknum].&amp;[9]"/>
            <x15:cachedUniqueName index="9" name="[Orders].[Weeknum].&amp;[10]"/>
            <x15:cachedUniqueName index="10" name="[Orders].[Weeknum].&amp;[11]"/>
            <x15:cachedUniqueName index="11" name="[Orders].[Weeknum].&amp;[12]"/>
            <x15:cachedUniqueName index="12" name="[Orders].[Weeknum].&amp;[13]"/>
          </x15:cachedUniqueNames>
        </ext>
      </extLst>
    </cacheField>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2" memberValueDatatype="20" unbalanced="0">
      <fieldsUsage count="2">
        <fieldUsage x="-1"/>
        <fieldUsage x="2"/>
      </fieldsUsage>
    </cacheHierarchy>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34.387288773149" backgroundQuery="1" createdVersion="6" refreshedVersion="6" minRefreshableVersion="3" recordCount="0" supportSubquery="1" supportAdvancedDrill="1" xr:uid="{DA563B68-3F41-41A0-A023-DBF999134FB7}">
  <cacheSource type="external" connectionId="1"/>
  <cacheFields count="3">
    <cacheField name="[Orders].[Quantity].[Quantity]" caption="Quantity" numFmtId="0" hierarchy="2" level="1">
      <sharedItems containsSemiMixedTypes="0" containsString="0" containsNumber="1" containsInteger="1" minValue="1" maxValue="87" count="48">
        <n v="1"/>
        <n v="2"/>
        <n v="3"/>
        <n v="4"/>
        <n v="5"/>
        <n v="6"/>
        <n v="7"/>
        <n v="8"/>
        <n v="9"/>
        <n v="10"/>
        <n v="11"/>
        <n v="12"/>
        <n v="13"/>
        <n v="14"/>
        <n v="15"/>
        <n v="16"/>
        <n v="17"/>
        <n v="18"/>
        <n v="19"/>
        <n v="20"/>
        <n v="21"/>
        <n v="22"/>
        <n v="23"/>
        <n v="24"/>
        <n v="25"/>
        <n v="26"/>
        <n v="27"/>
        <n v="28"/>
        <n v="29"/>
        <n v="30"/>
        <n v="31"/>
        <n v="32"/>
        <n v="33"/>
        <n v="34"/>
        <n v="35"/>
        <n v="36"/>
        <n v="38"/>
        <n v="40"/>
        <n v="41"/>
        <n v="42"/>
        <n v="43"/>
        <n v="45"/>
        <n v="47"/>
        <n v="49"/>
        <n v="62"/>
        <n v="63"/>
        <n v="70"/>
        <n v="87"/>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 index="5" name="[Orders].[Quantity].&amp;[6]"/>
            <x15:cachedUniqueName index="6" name="[Orders].[Quantity].&amp;[7]"/>
            <x15:cachedUniqueName index="7" name="[Orders].[Quantity].&amp;[8]"/>
            <x15:cachedUniqueName index="8" name="[Orders].[Quantity].&amp;[9]"/>
            <x15:cachedUniqueName index="9" name="[Orders].[Quantity].&amp;[10]"/>
            <x15:cachedUniqueName index="10" name="[Orders].[Quantity].&amp;[11]"/>
            <x15:cachedUniqueName index="11" name="[Orders].[Quantity].&amp;[12]"/>
            <x15:cachedUniqueName index="12" name="[Orders].[Quantity].&amp;[13]"/>
            <x15:cachedUniqueName index="13" name="[Orders].[Quantity].&amp;[14]"/>
            <x15:cachedUniqueName index="14" name="[Orders].[Quantity].&amp;[15]"/>
            <x15:cachedUniqueName index="15" name="[Orders].[Quantity].&amp;[16]"/>
            <x15:cachedUniqueName index="16" name="[Orders].[Quantity].&amp;[17]"/>
            <x15:cachedUniqueName index="17" name="[Orders].[Quantity].&amp;[18]"/>
            <x15:cachedUniqueName index="18" name="[Orders].[Quantity].&amp;[19]"/>
            <x15:cachedUniqueName index="19" name="[Orders].[Quantity].&amp;[20]"/>
            <x15:cachedUniqueName index="20" name="[Orders].[Quantity].&amp;[21]"/>
            <x15:cachedUniqueName index="21" name="[Orders].[Quantity].&amp;[22]"/>
            <x15:cachedUniqueName index="22" name="[Orders].[Quantity].&amp;[23]"/>
            <x15:cachedUniqueName index="23" name="[Orders].[Quantity].&amp;[24]"/>
            <x15:cachedUniqueName index="24" name="[Orders].[Quantity].&amp;[25]"/>
            <x15:cachedUniqueName index="25" name="[Orders].[Quantity].&amp;[26]"/>
            <x15:cachedUniqueName index="26" name="[Orders].[Quantity].&amp;[27]"/>
            <x15:cachedUniqueName index="27" name="[Orders].[Quantity].&amp;[28]"/>
            <x15:cachedUniqueName index="28" name="[Orders].[Quantity].&amp;[29]"/>
            <x15:cachedUniqueName index="29" name="[Orders].[Quantity].&amp;[30]"/>
            <x15:cachedUniqueName index="30" name="[Orders].[Quantity].&amp;[31]"/>
            <x15:cachedUniqueName index="31" name="[Orders].[Quantity].&amp;[32]"/>
            <x15:cachedUniqueName index="32" name="[Orders].[Quantity].&amp;[33]"/>
            <x15:cachedUniqueName index="33" name="[Orders].[Quantity].&amp;[34]"/>
            <x15:cachedUniqueName index="34" name="[Orders].[Quantity].&amp;[35]"/>
            <x15:cachedUniqueName index="35" name="[Orders].[Quantity].&amp;[36]"/>
            <x15:cachedUniqueName index="36" name="[Orders].[Quantity].&amp;[38]"/>
            <x15:cachedUniqueName index="37" name="[Orders].[Quantity].&amp;[40]"/>
            <x15:cachedUniqueName index="38" name="[Orders].[Quantity].&amp;[41]"/>
            <x15:cachedUniqueName index="39" name="[Orders].[Quantity].&amp;[42]"/>
            <x15:cachedUniqueName index="40" name="[Orders].[Quantity].&amp;[43]"/>
            <x15:cachedUniqueName index="41" name="[Orders].[Quantity].&amp;[45]"/>
            <x15:cachedUniqueName index="42" name="[Orders].[Quantity].&amp;[47]"/>
            <x15:cachedUniqueName index="43" name="[Orders].[Quantity].&amp;[49]"/>
            <x15:cachedUniqueName index="44" name="[Orders].[Quantity].&amp;[62]"/>
            <x15:cachedUniqueName index="45" name="[Orders].[Quantity].&amp;[63]"/>
            <x15:cachedUniqueName index="46" name="[Orders].[Quantity].&amp;[70]"/>
            <x15:cachedUniqueName index="47" name="[Orders].[Quantity].&amp;[87]"/>
          </x15:cachedUniqueNames>
        </ext>
      </extLst>
    </cacheField>
    <cacheField name="[Measures].[Count of TX ID]" caption="Count of TX ID" numFmtId="0" hierarchy="19" level="32767"/>
    <cacheField name="[Orders].[Gender Value].[Gender Value]" caption="Gender Value" numFmtId="0" hierarchy="14" level="1">
      <sharedItems containsSemiMixedTypes="0" containsNonDate="0" containsString="0"/>
    </cacheField>
  </cacheFields>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14.760670601849" backgroundQuery="1" createdVersion="3" refreshedVersion="6" minRefreshableVersion="3" recordCount="0" supportSubquery="1" supportAdvancedDrill="1" xr:uid="{D77E5EED-E359-45DE-BA09-D6EDC5CAD2F6}">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Count of Order Mode]" caption="Count of Order Mode" measure="1" displayFolder="" measureGroup="Ord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1857388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AF9CD-2810-4527-BCE1-9A74B82E67CE}" name="PivotTable9" cacheId="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14">
  <location ref="AB3:AC7" firstHeaderRow="1" firstDataRow="1" firstDataCol="1"/>
  <pivotFields count="4">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Sum of Quantity" fld="0" baseField="0" baseItem="0"/>
  </dataFields>
  <formats count="2">
    <format dxfId="1">
      <pivotArea type="all" dataOnly="0" outline="0" fieldPosition="0"/>
    </format>
    <format dxfId="0">
      <pivotArea outline="0" collapsedLevelsAreSubtotals="1" fieldPosition="0"/>
    </format>
  </formats>
  <chartFormats count="13">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9" format="8" series="1">
      <pivotArea type="data" outline="0" fieldPosition="0">
        <references count="2">
          <reference field="4294967294" count="1" selected="0">
            <x v="0"/>
          </reference>
          <reference field="2" count="1" selected="0">
            <x v="0"/>
          </reference>
        </references>
      </pivotArea>
    </chartFormat>
    <chartFormat chart="9" format="9" series="1">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2">
          <reference field="4294967294" count="1" selected="0">
            <x v="0"/>
          </reference>
          <reference field="2" count="1" selected="0">
            <x v="2"/>
          </reference>
        </references>
      </pivotArea>
    </chartFormat>
    <chartFormat chart="9" format="11" series="1">
      <pivotArea type="data" outline="0" fieldPosition="0">
        <references count="2">
          <reference field="4294967294" count="1" selected="0">
            <x v="0"/>
          </reference>
          <reference field="2"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736DB-E556-4C68-85E1-75750245F35C}" name="PivotTable8" cacheId="1"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10">
  <location ref="V3:Z24" firstHeaderRow="1" firstDataRow="2" firstDataCol="1"/>
  <pivotFields count="4">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20">
    <i>
      <x v="18"/>
    </i>
    <i>
      <x v="6"/>
    </i>
    <i>
      <x v="13"/>
    </i>
    <i>
      <x v="16"/>
    </i>
    <i>
      <x v="1"/>
    </i>
    <i>
      <x v="12"/>
    </i>
    <i>
      <x v="14"/>
    </i>
    <i>
      <x v="4"/>
    </i>
    <i>
      <x v="5"/>
    </i>
    <i>
      <x v="11"/>
    </i>
    <i>
      <x v="3"/>
    </i>
    <i>
      <x v="8"/>
    </i>
    <i>
      <x v="2"/>
    </i>
    <i>
      <x v="19"/>
    </i>
    <i>
      <x v="10"/>
    </i>
    <i>
      <x v="9"/>
    </i>
    <i>
      <x v="15"/>
    </i>
    <i>
      <x v="17"/>
    </i>
    <i>
      <x/>
    </i>
    <i>
      <x v="7"/>
    </i>
  </rowItems>
  <colFields count="1">
    <field x="2"/>
  </colFields>
  <colItems count="4">
    <i>
      <x/>
    </i>
    <i>
      <x v="1"/>
    </i>
    <i>
      <x v="2"/>
    </i>
    <i>
      <x v="3"/>
    </i>
  </colItems>
  <dataFields count="1">
    <dataField name="Sum of Quantity" fld="0" baseField="0" baseItem="0"/>
  </dataFields>
  <formats count="2">
    <format dxfId="3">
      <pivotArea type="all" dataOnly="0" outline="0" fieldPosition="0"/>
    </format>
    <format dxfId="2">
      <pivotArea outline="0" collapsedLevelsAreSubtotals="1" fieldPosition="0"/>
    </format>
  </formats>
  <chartFormats count="5">
    <chartFormat chart="9" format="8" series="1">
      <pivotArea type="data" outline="0" fieldPosition="0">
        <references count="2">
          <reference field="4294967294" count="1" selected="0">
            <x v="0"/>
          </reference>
          <reference field="2" count="1" selected="0">
            <x v="0"/>
          </reference>
        </references>
      </pivotArea>
    </chartFormat>
    <chartFormat chart="9" format="9" series="1">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2">
          <reference field="4294967294" count="1" selected="0">
            <x v="0"/>
          </reference>
          <reference field="2" count="1" selected="0">
            <x v="2"/>
          </reference>
        </references>
      </pivotArea>
    </chartFormat>
    <chartFormat chart="9" format="11" series="1">
      <pivotArea type="data" outline="0" fieldPosition="0">
        <references count="2">
          <reference field="4294967294" count="1" selected="0">
            <x v="0"/>
          </reference>
          <reference field="2" count="1" selected="0">
            <x v="3"/>
          </reference>
        </references>
      </pivotArea>
    </chartFormat>
    <chartFormat chart="9" format="1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CB4A02-EEB9-4A3A-875C-15C1A16B8D68}" name="PivotTable22" cacheId="4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AV3:BA7" firstHeaderRow="1" firstDataRow="2" firstDataCol="1"/>
  <pivotFields count="4">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items count="3">
        <item x="0" e="0"/>
        <item x="1" e="0"/>
        <item x="2" e="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3">
    <i>
      <x/>
    </i>
    <i>
      <x v="1"/>
    </i>
    <i>
      <x v="2"/>
    </i>
  </rowItems>
  <colFields count="1">
    <field x="0"/>
  </colFields>
  <colItems count="5">
    <i>
      <x/>
    </i>
    <i>
      <x v="1"/>
    </i>
    <i>
      <x v="2"/>
    </i>
    <i>
      <x v="3"/>
    </i>
    <i>
      <x v="4"/>
    </i>
  </colItems>
  <dataFields count="1">
    <dataField name=" TX ID" fld="1" subtotal="count" baseField="0" baseItem="0"/>
  </dataFields>
  <formats count="2">
    <format dxfId="5">
      <pivotArea type="all" dataOnly="0" outline="0" fieldPosition="0"/>
    </format>
    <format dxfId="4">
      <pivotArea outline="0" collapsedLevelsAreSubtotals="1" fieldPosition="0"/>
    </format>
  </formats>
  <chartFormats count="10">
    <chartFormat chart="4" format="5" series="1">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2">
          <reference field="4294967294" count="1" selected="0">
            <x v="0"/>
          </reference>
          <reference field="0" count="1" selected="0">
            <x v="1"/>
          </reference>
        </references>
      </pivotArea>
    </chartFormat>
    <chartFormat chart="4" format="7" series="1">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2">
          <reference field="4294967294" count="1" selected="0">
            <x v="0"/>
          </reference>
          <reference field="0" count="1" selected="0">
            <x v="3"/>
          </reference>
        </references>
      </pivotArea>
    </chartFormat>
    <chartFormat chart="4" format="9"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DC3B6-2B1A-4987-AAC1-4E67A743EA72}" name="PivotTable2"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 TX ID" fld="0" subtotal="count" baseField="0" baseItem="0"/>
    <dataField name=" Quantity" fld="1" baseField="0" baseItem="0"/>
    <dataField name=" Amount" fld="4" baseField="0" baseItem="0"/>
    <dataField name="Avg.Days to Deliver" fld="3" subtotal="average" baseField="0" baseItem="0" numFmtId="2"/>
    <dataField name="Avg.Rating C" fld="2" subtotal="average" baseField="0" baseItem="0" numFmtId="2"/>
  </dataFields>
  <formats count="4">
    <format dxfId="9">
      <pivotArea outline="0" collapsedLevelsAreSubtotals="1" fieldPosition="0">
        <references count="1">
          <reference field="4294967294" count="2" selected="0">
            <x v="3"/>
            <x v="4"/>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5">
            <x v="0"/>
            <x v="1"/>
            <x v="2"/>
            <x v="3"/>
            <x v="4"/>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A51C67-42D8-4F0F-A94B-D753A1A813FD}"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E8:I14" firstHeaderRow="1" firstDataRow="2" firstDataCol="1"/>
  <pivotFields count="3">
    <pivotField axis="axisCol"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Fields count="1">
    <field x="0"/>
  </colFields>
  <colItems count="4">
    <i>
      <x/>
    </i>
    <i>
      <x v="1"/>
    </i>
    <i>
      <x v="2"/>
    </i>
    <i>
      <x v="3"/>
    </i>
  </colItems>
  <dataFields count="1">
    <dataField name=" Order Mode" fld="2" subtotal="count" showDataAs="percentOfTotal" baseField="0" baseItem="0" numFmtId="9"/>
  </dataFields>
  <formats count="10">
    <format dxfId="19">
      <pivotArea type="all" dataOnly="0"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0" type="button" dataOnly="0" labelOnly="1" outline="0" axis="axisCol" fieldPosition="0"/>
    </format>
    <format dxfId="13">
      <pivotArea type="topRight" dataOnly="0" labelOnly="1" outline="0" fieldPosition="0"/>
    </format>
    <format dxfId="12">
      <pivotArea field="1" type="button" dataOnly="0" labelOnly="1" outline="0" axis="axisRow" fieldPosition="0"/>
    </format>
    <format dxfId="11">
      <pivotArea dataOnly="0" labelOnly="1" outline="0" fieldPosition="0">
        <references count="1">
          <reference field="1" count="0"/>
        </references>
      </pivotArea>
    </format>
    <format dxfId="10">
      <pivotArea dataOnly="0" labelOnly="1" outline="0" fieldPosition="0">
        <references count="1">
          <reference field="0" count="0"/>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caption=" Order Mode"/>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3BA92-F792-44A3-B610-8DBC30FCB716}" name="PivotTable5"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7">
  <location ref="S3:T51" firstHeaderRow="1" firstDataRow="1" firstDataCol="1"/>
  <pivotFields count="3">
    <pivotField axis="axisRow" compact="0" allDrilled="1" outline="0"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 TX ID" fld="1" subtotal="count" baseField="0" baseItem="0"/>
  </dataFields>
  <formats count="2">
    <format dxfId="21">
      <pivotArea type="all" dataOnly="0" outline="0" fieldPosition="0"/>
    </format>
    <format dxfId="2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A5094-44E0-4593-8937-2849E8AC4FE2}" name="PivotTable24" cacheId="4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3">
  <location ref="BC3:BE8" firstHeaderRow="0" firstDataRow="1" firstDataCol="1"/>
  <pivotFields count="4">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5">
    <i>
      <x/>
    </i>
    <i>
      <x v="1"/>
    </i>
    <i>
      <x v="2"/>
    </i>
    <i>
      <x v="3"/>
    </i>
    <i>
      <x v="4"/>
    </i>
  </rowItems>
  <colFields count="1">
    <field x="-2"/>
  </colFields>
  <colItems count="2">
    <i>
      <x/>
    </i>
    <i i="1">
      <x v="1"/>
    </i>
  </colItems>
  <dataFields count="2">
    <dataField name="Sum of Amount" fld="1" baseField="0" baseItem="0"/>
    <dataField name="Sum of Quantity" fld="2" baseField="0" baseItem="0"/>
  </dataFields>
  <formats count="2">
    <format dxfId="23">
      <pivotArea type="all" dataOnly="0" outline="0" fieldPosition="0"/>
    </format>
    <format dxfId="22">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6042B7-371E-469C-8398-96A8ACFC791F}" name="PivotTable3" cacheId="49"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A8:C21" firstHeaderRow="0" firstDataRow="1" firstDataCol="1"/>
  <pivotFields count="4">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allDrilled="1" outline="0" showAll="0" dataSourceSort="1" defaultSubtotal="0" defaultAttributeDrillState="1">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13">
    <i>
      <x/>
    </i>
    <i>
      <x v="1"/>
    </i>
    <i>
      <x v="2"/>
    </i>
    <i>
      <x v="3"/>
    </i>
    <i>
      <x v="4"/>
    </i>
    <i>
      <x v="5"/>
    </i>
    <i>
      <x v="6"/>
    </i>
    <i>
      <x v="7"/>
    </i>
    <i>
      <x v="8"/>
    </i>
    <i>
      <x v="9"/>
    </i>
    <i>
      <x v="10"/>
    </i>
    <i>
      <x v="11"/>
    </i>
    <i>
      <x v="12"/>
    </i>
  </rowItems>
  <colFields count="1">
    <field x="-2"/>
  </colFields>
  <colItems count="2">
    <i>
      <x/>
    </i>
    <i i="1">
      <x v="1"/>
    </i>
  </colItems>
  <dataFields count="2">
    <dataField name=" Quantity" fld="0" baseField="0" baseItem="0"/>
    <dataField name=" Amount" fld="1" baseField="0" baseItem="0"/>
  </dataFields>
  <formats count="3">
    <format dxfId="26">
      <pivotArea type="all" dataOnly="0" outline="0" fieldPosition="0"/>
    </format>
    <format dxfId="25">
      <pivotArea outline="0" collapsedLevelsAreSubtotals="1" fieldPosition="0"/>
    </format>
    <format dxfId="24">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2B18F1-57D4-4DEC-A572-F4A2EC3068ED}" name="PivotTable21" cacheId="4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4">
  <location ref="AS3:AT18" firstHeaderRow="1" firstDataRow="1" firstDataCol="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5">
    <i>
      <x/>
    </i>
    <i>
      <x v="1"/>
    </i>
    <i>
      <x v="2"/>
    </i>
    <i>
      <x v="3"/>
    </i>
    <i>
      <x v="4"/>
    </i>
    <i>
      <x v="5"/>
    </i>
    <i>
      <x v="6"/>
    </i>
    <i>
      <x v="7"/>
    </i>
    <i>
      <x v="8"/>
    </i>
    <i>
      <x v="9"/>
    </i>
    <i>
      <x v="10"/>
    </i>
    <i>
      <x v="11"/>
    </i>
    <i>
      <x v="12"/>
    </i>
    <i>
      <x v="13"/>
    </i>
    <i>
      <x v="14"/>
    </i>
  </rowItems>
  <colItems count="1">
    <i/>
  </colItems>
  <dataFields count="1">
    <dataField name=" TX ID" fld="1" subtotal="count" baseField="0" baseItem="0"/>
  </dataFields>
  <formats count="2">
    <format dxfId="28">
      <pivotArea type="all" dataOnly="0" outline="0" fieldPosition="0"/>
    </format>
    <format dxfId="27">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3939E7-FDB3-46A2-9E8B-EC50E0581D8B}" name="PivotTable10" cacheId="34"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3">
  <location ref="AF3:AI62" firstHeaderRow="0" firstDataRow="1" firstDataCol="2"/>
  <pivotFields count="5">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extLst>
        <ext xmlns:x14="http://schemas.microsoft.com/office/spreadsheetml/2009/9/main" uri="{2946ED86-A175-432a-8AC1-64E0C546D7DE}">
          <x14:pivotField fillDownLabels="1"/>
        </ext>
      </extLst>
    </pivotField>
    <pivotField axis="axisRow" compact="0" allDrilled="1" outline="0" subtotalTop="0" showAll="0" dataSourceSort="1" defaultAttributeDrillState="1">
      <items count="2">
        <item x="0"/>
        <item t="default"/>
      </items>
      <extLst>
        <ext xmlns:x14="http://schemas.microsoft.com/office/spreadsheetml/2009/9/main" uri="{2946ED86-A175-432a-8AC1-64E0C546D7DE}">
          <x14:pivotField fillDownLabels="1"/>
        </ext>
      </extLst>
    </pivotField>
    <pivotField compact="0" allDrilled="1" outline="0" subtotalTop="0" showAll="0" dataSourceSort="1" defaultAttributeDrillState="1">
      <extLst>
        <ext xmlns:x14="http://schemas.microsoft.com/office/spreadsheetml/2009/9/main" uri="{2946ED86-A175-432a-8AC1-64E0C546D7DE}">
          <x14:pivotField fillDownLabels="1"/>
        </ext>
      </extLst>
    </pivotField>
  </pivotFields>
  <rowFields count="2">
    <field x="3"/>
    <field x="2"/>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rowItems>
  <colFields count="1">
    <field x="-2"/>
  </colFields>
  <colItems count="2">
    <i>
      <x/>
    </i>
    <i i="1">
      <x v="1"/>
    </i>
  </colItems>
  <dataFields count="2">
    <dataField name=" Quantity" fld="0" baseField="0" baseItem="0"/>
    <dataField name=" Amount" fld="1" baseField="0" baseItem="0"/>
  </dataFields>
  <formats count="3">
    <format dxfId="31">
      <pivotArea type="all" dataOnly="0" outline="0" fieldPosition="0"/>
    </format>
    <format dxfId="30">
      <pivotArea outline="0" collapsedLevelsAreSubtotals="1" fieldPosition="0"/>
    </format>
    <format dxfId="29">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TX ID"/>
    <pivotHierarchy dragToData="1" caption=" Quantity"/>
    <pivotHierarchy dragToData="1" caption=" Unit Price"/>
    <pivotHierarchy dragToData="1"/>
    <pivotHierarchy dragToData="1"/>
    <pivotHierarchy dragToData="1" caption="Avg.Rating C"/>
    <pivotHierarchy dragToData="1" caption="Avg.Days to Deliver"/>
    <pivotHierarchy dragToData="1" caption=" Amount"/>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EB6D54A-5108-4755-9387-AA39F4076A68}" sourceName="[Orders].[Gender Value]">
  <pivotTables>
    <pivotTable tabId="7" name="PivotTable10"/>
    <pivotTable tabId="7" name="PivotTable2"/>
    <pivotTable tabId="7" name="PivotTable21"/>
    <pivotTable tabId="7" name="PivotTable22"/>
    <pivotTable tabId="7" name="PivotTable24"/>
    <pivotTable tabId="7" name="PivotTable3"/>
    <pivotTable tabId="7" name="PivotTable5"/>
  </pivotTables>
  <data>
    <olap pivotCacheId="1185738884">
      <levels count="2">
        <level uniqueName="[Orders].[Gender Value].[(All)]" sourceCaption="(All)" count="0"/>
        <level uniqueName="[Orders].[Gender Value].[Gender Value]" sourceCaption="Gender Value" count="4">
          <ranges>
            <range startItem="0">
              <i n="[Orders].[Gender Value].&amp;[Female]" c="Female"/>
              <i n="[Orders].[Gender Value].&amp;[Male]" c="Male"/>
              <i n="[Orders].[Gender Value].&amp;[Other]" c="Other"/>
              <i n="[Orders].[Gender Value].&amp;[Unknown]" c="Unknown"/>
            </range>
          </ranges>
        </level>
      </levels>
      <selections count="1">
        <selection n="[Orders].[Gender Valu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DD39E47-CB69-41E9-B926-321BFE640BFF}" sourceName="[Orders].[Order Mode]">
  <pivotTables>
    <pivotTable tabId="7" name="PivotTable8"/>
    <pivotTable tabId="7" name="PivotTable10"/>
    <pivotTable tabId="7" name="PivotTable2"/>
    <pivotTable tabId="7" name="PivotTable21"/>
    <pivotTable tabId="7" name="PivotTable22"/>
    <pivotTable tabId="7" name="PivotTable24"/>
    <pivotTable tabId="7" name="PivotTable3"/>
    <pivotTable tabId="7" name="PivotTable5"/>
    <pivotTable tabId="7" name="PivotTable9"/>
  </pivotTables>
  <data>
    <olap pivotCacheId="1185738884">
      <levels count="2">
        <level uniqueName="[Orders].[Order Mode].[(All)]" sourceCaption="(All)" count="0"/>
        <level uniqueName="[Orders].[Order Mode].[Order Mode]" sourceCaption="Order Mode" count="5">
          <ranges>
            <range startItem="0">
              <i n="[Orders].[Order Mode].&amp;[App]" c="App"/>
              <i n="[Orders].[Order Mode].&amp;[Instagram]" c="Instagram"/>
              <i n="[Orders].[Order Mode].&amp;[Partner App]" c="Partner App"/>
              <i n="[Orders].[Order Mode].&amp;[Target.com]" c="Target.com"/>
              <i n="[Orders].[Order Mode].&amp;[Website]" c="Website"/>
            </range>
          </ranges>
        </level>
      </levels>
      <selections count="1">
        <selection n="[Orders].[Order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3FD5FFAC-097A-4C20-98F9-E5931914FEB7}" cache="Slicer_Gender_Value" caption="Gender Value" level="1" style="SlicerStyleLight6" rowHeight="234950"/>
  <slicer name="Order Mode" xr10:uid="{B1DD7C98-3FE8-4658-B3A1-1C40EE57C95A}" cache="Slicer_Order_Mode" caption="Order Mode"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6080B45F-3777-4F5D-A0FD-8BBF4CE8516C}"/>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36"/>
    <tableColumn id="7" xr3:uid="{43BB5DBF-46E1-4185-80C0-4361F55A385C}" name="Ship Date" dataDxfId="3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4">
      <calculatedColumnFormula>Orders[[#This Row],[Ship Date]]-Orders[[#This Row],[Order Date]]</calculatedColumnFormula>
    </tableColumn>
    <tableColumn id="12" xr3:uid="{B071C0DA-87A9-4516-B4D9-4F5B7D3FF44A}" name="Weeknum" dataDxfId="33">
      <calculatedColumnFormula>WEEKNUM(Orders[[#This Row],[Order Date]])</calculatedColumnFormula>
    </tableColumn>
    <tableColumn id="13" xr3:uid="{B8EA9E28-7541-4E76-9935-C26438661A18}" name="Gender Value" dataDxfId="32">
      <calculatedColumnFormula array="1">_xlfn.IFS(Orders[[#This Row],[Customer Gender]]="M","Male", Orders[[#This Row],[Customer Gender]]="F","Female", Orders[[#This Row],[Customer Gender]]="O","Other", TRUE,"Unknown")</calculatedColumnFormula>
    </tableColumn>
  </tableColumns>
  <tableStyleInfo name="TableStyleLight8" showFirstColumn="0" showLastColumn="0" showRowStripes="1" showColumnStripes="0"/>
</table>
</file>

<file path=xl/theme/theme1.xml><?xml version="1.0" encoding="utf-8"?>
<a:theme xmlns:a="http://schemas.openxmlformats.org/drawingml/2006/main" name="Retrospect">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D15" sqref="D15"/>
    </sheetView>
  </sheetViews>
  <sheetFormatPr defaultRowHeight="14.4" x14ac:dyDescent="0.3"/>
  <cols>
    <col min="2" max="2" width="19.21875" customWidth="1"/>
    <col min="3" max="3" width="8.21875" customWidth="1"/>
    <col min="4" max="4" width="9.21875" customWidth="1"/>
    <col min="5" max="5" width="7.44140625" customWidth="1"/>
    <col min="6" max="6" width="10.109375" customWidth="1"/>
    <col min="7" max="7" width="9.44140625" customWidth="1"/>
    <col min="8" max="8" width="15.77734375" customWidth="1"/>
    <col min="9" max="9" width="10.77734375" customWidth="1"/>
    <col min="10" max="10" width="7.88671875" customWidth="1"/>
    <col min="11" max="11" width="8.88671875" customWidth="1"/>
    <col min="12" max="12" width="19.77734375" customWidth="1"/>
    <col min="13" max="13" width="13.33203125" customWidth="1"/>
    <col min="14" max="14" width="9.33203125" customWidth="1"/>
    <col min="15" max="15" width="12.21875"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R26" sqref="R26"/>
    </sheetView>
  </sheetViews>
  <sheetFormatPr defaultRowHeight="14.4" x14ac:dyDescent="0.3"/>
  <cols>
    <col min="1" max="1" width="4.109375" customWidth="1"/>
    <col min="2" max="2" width="52.886718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210DF-F829-40D2-8848-A5806D96476C}">
  <dimension ref="A3:BE62"/>
  <sheetViews>
    <sheetView workbookViewId="0">
      <selection activeCell="A4" sqref="A4"/>
    </sheetView>
  </sheetViews>
  <sheetFormatPr defaultRowHeight="14.4" x14ac:dyDescent="0.3"/>
  <cols>
    <col min="1" max="1" width="14.109375" bestFit="1" customWidth="1"/>
    <col min="2" max="2" width="8.77734375" bestFit="1" customWidth="1"/>
    <col min="3" max="3" width="8.33203125" bestFit="1" customWidth="1"/>
    <col min="4" max="4" width="17.44140625" bestFit="1" customWidth="1"/>
    <col min="5" max="5" width="11.6640625" bestFit="1" customWidth="1"/>
    <col min="6" max="6" width="17.109375" customWidth="1"/>
    <col min="7" max="7" width="5.6640625" bestFit="1" customWidth="1"/>
    <col min="8" max="8" width="8.44140625" bestFit="1" customWidth="1"/>
    <col min="9" max="9" width="9.21875" customWidth="1"/>
    <col min="10" max="10" width="16.77734375" customWidth="1"/>
    <col min="11" max="11" width="11.109375" bestFit="1" customWidth="1"/>
    <col min="19" max="19" width="12.77734375" bestFit="1" customWidth="1"/>
    <col min="20" max="20" width="5.77734375" bestFit="1" customWidth="1"/>
    <col min="22" max="22" width="19.33203125" customWidth="1"/>
    <col min="23" max="23" width="17.109375" customWidth="1"/>
    <col min="24" max="24" width="5.109375" customWidth="1"/>
    <col min="25" max="25" width="5.88671875" customWidth="1"/>
    <col min="26" max="26" width="9.21875" customWidth="1"/>
    <col min="28" max="28" width="17.109375" customWidth="1"/>
    <col min="29" max="29" width="15.21875" customWidth="1"/>
    <col min="30" max="30" width="5.109375" customWidth="1"/>
    <col min="31" max="31" width="5.88671875" customWidth="1"/>
    <col min="32" max="32" width="20.5546875" customWidth="1"/>
    <col min="33" max="33" width="20" bestFit="1" customWidth="1"/>
    <col min="34" max="34" width="8.77734375" bestFit="1" customWidth="1"/>
    <col min="35" max="35" width="9" bestFit="1" customWidth="1"/>
    <col min="37" max="37" width="14.21875" customWidth="1"/>
    <col min="38" max="38" width="22.33203125" customWidth="1"/>
    <col min="41" max="41" width="13.33203125" customWidth="1"/>
    <col min="42" max="42" width="20.5546875" customWidth="1"/>
    <col min="45" max="45" width="18" bestFit="1" customWidth="1"/>
    <col min="46" max="46" width="5.77734375" bestFit="1" customWidth="1"/>
    <col min="48" max="48" width="22.33203125" bestFit="1" customWidth="1"/>
    <col min="49" max="49" width="12.33203125" bestFit="1" customWidth="1"/>
    <col min="50" max="50" width="3" bestFit="1" customWidth="1"/>
    <col min="51" max="53" width="4" bestFit="1" customWidth="1"/>
    <col min="54" max="54" width="4" customWidth="1"/>
    <col min="55" max="55" width="15.6640625" bestFit="1" customWidth="1"/>
    <col min="56" max="56" width="14.44140625" bestFit="1" customWidth="1"/>
    <col min="57" max="57" width="14.88671875" bestFit="1" customWidth="1"/>
  </cols>
  <sheetData>
    <row r="3" spans="1:57" x14ac:dyDescent="0.3">
      <c r="A3" s="5" t="s">
        <v>2520</v>
      </c>
      <c r="B3" s="5" t="s">
        <v>2519</v>
      </c>
      <c r="C3" s="5" t="s">
        <v>2524</v>
      </c>
      <c r="D3" s="5" t="s">
        <v>2522</v>
      </c>
      <c r="E3" s="5" t="s">
        <v>2521</v>
      </c>
      <c r="G3" s="20" t="str">
        <f>A3</f>
        <v xml:space="preserve"> TX ID</v>
      </c>
      <c r="H3" s="20" t="str">
        <f t="shared" ref="H3:K3" si="0">B3</f>
        <v xml:space="preserve"> Quantity</v>
      </c>
      <c r="I3" s="20" t="str">
        <f t="shared" si="0"/>
        <v xml:space="preserve"> Amount</v>
      </c>
      <c r="J3" s="20" t="str">
        <f t="shared" si="0"/>
        <v>Avg.Days to Deliver</v>
      </c>
      <c r="K3" s="20" t="str">
        <f t="shared" si="0"/>
        <v>Avg.Rating C</v>
      </c>
      <c r="S3" s="8" t="s">
        <v>2</v>
      </c>
      <c r="T3" s="5" t="s">
        <v>2520</v>
      </c>
      <c r="V3" s="8" t="s">
        <v>2518</v>
      </c>
      <c r="W3" s="8" t="s">
        <v>14</v>
      </c>
      <c r="X3" s="5"/>
      <c r="Y3" s="5"/>
      <c r="Z3" s="5"/>
      <c r="AB3" s="8" t="s">
        <v>14</v>
      </c>
      <c r="AC3" s="5" t="s">
        <v>2518</v>
      </c>
      <c r="AF3" s="8" t="s">
        <v>10</v>
      </c>
      <c r="AG3" s="8" t="s">
        <v>11</v>
      </c>
      <c r="AH3" s="5" t="s">
        <v>2519</v>
      </c>
      <c r="AI3" s="5" t="s">
        <v>2524</v>
      </c>
      <c r="AK3" t="str">
        <f>AF3</f>
        <v>State</v>
      </c>
      <c r="AL3" t="str">
        <f t="shared" ref="AL3:AM3" si="1">AG3</f>
        <v>County</v>
      </c>
      <c r="AM3" t="str">
        <f t="shared" si="1"/>
        <v xml:space="preserve"> Quantity</v>
      </c>
      <c r="AO3" t="str">
        <f>AF3</f>
        <v>State</v>
      </c>
      <c r="AP3" t="str">
        <f>AG3</f>
        <v>County</v>
      </c>
      <c r="AQ3" t="str">
        <f>AI3</f>
        <v xml:space="preserve"> Amount</v>
      </c>
      <c r="AS3" s="8" t="s">
        <v>12</v>
      </c>
      <c r="AT3" s="5" t="s">
        <v>2520</v>
      </c>
      <c r="AV3" s="8" t="s">
        <v>2520</v>
      </c>
      <c r="AW3" s="8" t="s">
        <v>9</v>
      </c>
      <c r="AX3" s="5"/>
      <c r="AY3" s="5"/>
      <c r="AZ3" s="5"/>
      <c r="BA3" s="5"/>
      <c r="BC3" s="8" t="s">
        <v>8</v>
      </c>
      <c r="BD3" s="5" t="s">
        <v>2523</v>
      </c>
      <c r="BE3" s="5" t="s">
        <v>2518</v>
      </c>
    </row>
    <row r="4" spans="1:57" x14ac:dyDescent="0.3">
      <c r="A4" s="6">
        <v>2400</v>
      </c>
      <c r="B4" s="6">
        <v>11997</v>
      </c>
      <c r="C4" s="6">
        <v>649019.80000000144</v>
      </c>
      <c r="D4" s="7">
        <v>2.3424999999999998</v>
      </c>
      <c r="E4" s="7">
        <v>3.9620833333333332</v>
      </c>
      <c r="G4" s="20" t="str">
        <f>TEXT(A4,"#,##")</f>
        <v>2,400</v>
      </c>
      <c r="H4" s="20" t="str">
        <f>TEXT(B4,"#,##")</f>
        <v>11,997</v>
      </c>
      <c r="I4" s="20" t="str">
        <f>TEXT(C4,"$#,##,.0k")</f>
        <v>$649.0k</v>
      </c>
      <c r="J4" s="20" t="str">
        <f>TEXT(D4,"0.0")</f>
        <v>2.3</v>
      </c>
      <c r="K4" s="20" t="str">
        <f>TEXT(E4,"0.0")</f>
        <v>4.0</v>
      </c>
      <c r="S4" s="5">
        <v>1</v>
      </c>
      <c r="T4" s="6">
        <v>397</v>
      </c>
      <c r="V4" s="8" t="s">
        <v>1</v>
      </c>
      <c r="W4" s="5" t="s">
        <v>2525</v>
      </c>
      <c r="X4" s="5" t="s">
        <v>2526</v>
      </c>
      <c r="Y4" s="5" t="s">
        <v>2527</v>
      </c>
      <c r="Z4" s="5" t="s">
        <v>2528</v>
      </c>
      <c r="AB4" s="5" t="s">
        <v>2525</v>
      </c>
      <c r="AC4" s="6">
        <v>6272</v>
      </c>
      <c r="AF4" s="5" t="s">
        <v>19</v>
      </c>
      <c r="AG4" s="5" t="s">
        <v>115</v>
      </c>
      <c r="AH4" s="6">
        <v>579</v>
      </c>
      <c r="AI4" s="6">
        <v>31884.999999999996</v>
      </c>
      <c r="AK4" t="str">
        <f>IF(AF4="","",AF4)</f>
        <v>California</v>
      </c>
      <c r="AL4" t="str">
        <f t="shared" ref="AL4:AM4" si="2">IF(AG4="","",AG4)</f>
        <v>Alameda County</v>
      </c>
      <c r="AM4">
        <f t="shared" si="2"/>
        <v>579</v>
      </c>
      <c r="AO4" t="str">
        <f>IF(AF4="","",AF4)</f>
        <v>California</v>
      </c>
      <c r="AP4" t="str">
        <f t="shared" ref="AP4" si="3">IF(AG4="","",AG4)</f>
        <v>Alameda County</v>
      </c>
      <c r="AQ4">
        <f>IF(AI4="","",AI4)</f>
        <v>31884.999999999996</v>
      </c>
      <c r="AS4" s="5">
        <v>0</v>
      </c>
      <c r="AT4" s="6">
        <v>175</v>
      </c>
      <c r="AV4" s="8" t="s">
        <v>2530</v>
      </c>
      <c r="AW4" s="5">
        <v>1</v>
      </c>
      <c r="AX4" s="5">
        <v>2</v>
      </c>
      <c r="AY4" s="5">
        <v>3</v>
      </c>
      <c r="AZ4" s="5">
        <v>4</v>
      </c>
      <c r="BA4" s="5">
        <v>5</v>
      </c>
      <c r="BC4" s="5" t="s">
        <v>18</v>
      </c>
      <c r="BD4" s="6">
        <v>229393.49999999988</v>
      </c>
      <c r="BE4" s="6">
        <v>4220</v>
      </c>
    </row>
    <row r="5" spans="1:57" x14ac:dyDescent="0.3">
      <c r="S5" s="5">
        <v>2</v>
      </c>
      <c r="T5" s="6">
        <v>540</v>
      </c>
      <c r="V5" s="5" t="s">
        <v>44</v>
      </c>
      <c r="W5" s="6">
        <v>744</v>
      </c>
      <c r="X5" s="6">
        <v>713</v>
      </c>
      <c r="Y5" s="6">
        <v>90</v>
      </c>
      <c r="Z5" s="6">
        <v>98</v>
      </c>
      <c r="AB5" s="5" t="s">
        <v>2526</v>
      </c>
      <c r="AC5" s="6">
        <v>4672</v>
      </c>
      <c r="AF5" s="5" t="s">
        <v>19</v>
      </c>
      <c r="AG5" s="5" t="s">
        <v>20</v>
      </c>
      <c r="AH5" s="6">
        <v>1</v>
      </c>
      <c r="AI5" s="6">
        <v>10.9</v>
      </c>
      <c r="AK5" t="str">
        <f t="shared" ref="AK5:AK62" si="4">IF(AF5="","",AF5)</f>
        <v>California</v>
      </c>
      <c r="AL5" t="str">
        <f t="shared" ref="AL5:AL62" si="5">IF(AG5="","",AG5)</f>
        <v>Alpine County</v>
      </c>
      <c r="AM5">
        <f t="shared" ref="AM5:AM62" si="6">IF(AH5="","",AH5)</f>
        <v>1</v>
      </c>
      <c r="AO5" t="str">
        <f t="shared" ref="AO5:AO62" si="7">IF(AF5="","",AF5)</f>
        <v>California</v>
      </c>
      <c r="AP5" t="str">
        <f t="shared" ref="AP5:AP62" si="8">IF(AG5="","",AG5)</f>
        <v>Alpine County</v>
      </c>
      <c r="AQ5">
        <f t="shared" ref="AQ5:AQ62" si="9">IF(AI5="","",AI5)</f>
        <v>10.9</v>
      </c>
      <c r="AS5" s="5">
        <v>1</v>
      </c>
      <c r="AT5" s="6">
        <v>888</v>
      </c>
      <c r="AV5" s="5" t="s">
        <v>2531</v>
      </c>
      <c r="AW5" s="6">
        <v>7</v>
      </c>
      <c r="AX5" s="6">
        <v>37</v>
      </c>
      <c r="AY5" s="6">
        <v>150</v>
      </c>
      <c r="AZ5" s="6">
        <v>312</v>
      </c>
      <c r="BA5" s="6">
        <v>224</v>
      </c>
      <c r="BC5" s="5" t="s">
        <v>51</v>
      </c>
      <c r="BD5" s="6">
        <v>73126.199999999983</v>
      </c>
      <c r="BE5" s="6">
        <v>1415</v>
      </c>
    </row>
    <row r="6" spans="1:57" x14ac:dyDescent="0.3">
      <c r="S6" s="5">
        <v>3</v>
      </c>
      <c r="T6" s="6">
        <v>375</v>
      </c>
      <c r="V6" s="5" t="s">
        <v>39</v>
      </c>
      <c r="W6" s="6">
        <v>716</v>
      </c>
      <c r="X6" s="6">
        <v>598</v>
      </c>
      <c r="Y6" s="6">
        <v>18</v>
      </c>
      <c r="Z6" s="6">
        <v>214</v>
      </c>
      <c r="AB6" s="5" t="s">
        <v>2527</v>
      </c>
      <c r="AC6" s="6">
        <v>317</v>
      </c>
      <c r="AF6" s="5" t="s">
        <v>19</v>
      </c>
      <c r="AG6" s="5" t="s">
        <v>641</v>
      </c>
      <c r="AH6" s="6">
        <v>9</v>
      </c>
      <c r="AI6" s="6">
        <v>800.3</v>
      </c>
      <c r="AK6" t="str">
        <f t="shared" si="4"/>
        <v>California</v>
      </c>
      <c r="AL6" t="str">
        <f t="shared" si="5"/>
        <v>Amador County</v>
      </c>
      <c r="AM6">
        <f t="shared" si="6"/>
        <v>9</v>
      </c>
      <c r="AO6" t="str">
        <f t="shared" si="7"/>
        <v>California</v>
      </c>
      <c r="AP6" t="str">
        <f t="shared" si="8"/>
        <v>Amador County</v>
      </c>
      <c r="AQ6">
        <f t="shared" si="9"/>
        <v>800.3</v>
      </c>
      <c r="AS6" s="5">
        <v>2</v>
      </c>
      <c r="AT6" s="6">
        <v>538</v>
      </c>
      <c r="AV6" s="5" t="s">
        <v>2532</v>
      </c>
      <c r="AW6" s="6">
        <v>8</v>
      </c>
      <c r="AX6" s="6">
        <v>51</v>
      </c>
      <c r="AY6" s="6">
        <v>182</v>
      </c>
      <c r="AZ6" s="6">
        <v>373</v>
      </c>
      <c r="BA6" s="6">
        <v>247</v>
      </c>
      <c r="BC6" s="5" t="s">
        <v>70</v>
      </c>
      <c r="BD6" s="6">
        <v>75134.899999999994</v>
      </c>
      <c r="BE6" s="6">
        <v>1388</v>
      </c>
    </row>
    <row r="7" spans="1:57" x14ac:dyDescent="0.3">
      <c r="S7" s="5">
        <v>4</v>
      </c>
      <c r="T7" s="6">
        <v>246</v>
      </c>
      <c r="V7" s="5" t="s">
        <v>26</v>
      </c>
      <c r="W7" s="6">
        <v>627</v>
      </c>
      <c r="X7" s="6">
        <v>393</v>
      </c>
      <c r="Y7" s="6">
        <v>29</v>
      </c>
      <c r="Z7" s="6">
        <v>137</v>
      </c>
      <c r="AB7" s="5" t="s">
        <v>2528</v>
      </c>
      <c r="AC7" s="6">
        <v>736</v>
      </c>
      <c r="AF7" s="5" t="s">
        <v>19</v>
      </c>
      <c r="AG7" s="5" t="s">
        <v>967</v>
      </c>
      <c r="AH7" s="6">
        <v>35</v>
      </c>
      <c r="AI7" s="6">
        <v>1062.5999999999999</v>
      </c>
      <c r="AK7" t="str">
        <f t="shared" si="4"/>
        <v>California</v>
      </c>
      <c r="AL7" t="str">
        <f t="shared" si="5"/>
        <v>Butte County</v>
      </c>
      <c r="AM7">
        <f t="shared" si="6"/>
        <v>35</v>
      </c>
      <c r="AO7" t="str">
        <f t="shared" si="7"/>
        <v>California</v>
      </c>
      <c r="AP7" t="str">
        <f t="shared" si="8"/>
        <v>Butte County</v>
      </c>
      <c r="AQ7">
        <f t="shared" si="9"/>
        <v>1062.5999999999999</v>
      </c>
      <c r="AS7" s="5">
        <v>3</v>
      </c>
      <c r="AT7" s="6">
        <v>344</v>
      </c>
      <c r="AV7" s="5" t="s">
        <v>2533</v>
      </c>
      <c r="AW7" s="6">
        <v>6</v>
      </c>
      <c r="AX7" s="6">
        <v>39</v>
      </c>
      <c r="AY7" s="6">
        <v>163</v>
      </c>
      <c r="AZ7" s="6">
        <v>351</v>
      </c>
      <c r="BA7" s="6">
        <v>250</v>
      </c>
      <c r="BC7" s="5" t="s">
        <v>40</v>
      </c>
      <c r="BD7" s="6">
        <v>118568.79999999999</v>
      </c>
      <c r="BE7" s="6">
        <v>2308</v>
      </c>
    </row>
    <row r="8" spans="1:57" x14ac:dyDescent="0.3">
      <c r="A8" s="8" t="s">
        <v>13</v>
      </c>
      <c r="B8" s="5" t="s">
        <v>2519</v>
      </c>
      <c r="C8" s="5" t="s">
        <v>2524</v>
      </c>
      <c r="E8" s="11" t="s">
        <v>2534</v>
      </c>
      <c r="F8" s="11" t="s">
        <v>14</v>
      </c>
      <c r="G8" s="10"/>
      <c r="H8" s="10"/>
      <c r="I8" s="10"/>
      <c r="J8" s="9"/>
      <c r="K8" s="9"/>
      <c r="S8" s="5">
        <v>5</v>
      </c>
      <c r="T8" s="6">
        <v>195</v>
      </c>
      <c r="V8" s="5" t="s">
        <v>22</v>
      </c>
      <c r="W8" s="6">
        <v>568</v>
      </c>
      <c r="X8" s="6">
        <v>306</v>
      </c>
      <c r="Y8" s="6">
        <v>22</v>
      </c>
      <c r="Z8" s="6">
        <v>16</v>
      </c>
      <c r="AF8" s="5" t="s">
        <v>19</v>
      </c>
      <c r="AG8" s="5" t="s">
        <v>84</v>
      </c>
      <c r="AH8" s="6">
        <v>12</v>
      </c>
      <c r="AI8" s="6">
        <v>326.20000000000005</v>
      </c>
      <c r="AK8" t="str">
        <f t="shared" si="4"/>
        <v>California</v>
      </c>
      <c r="AL8" t="str">
        <f t="shared" si="5"/>
        <v>Calaveras County</v>
      </c>
      <c r="AM8">
        <f t="shared" si="6"/>
        <v>12</v>
      </c>
      <c r="AO8" t="str">
        <f t="shared" si="7"/>
        <v>California</v>
      </c>
      <c r="AP8" t="str">
        <f t="shared" si="8"/>
        <v>Calaveras County</v>
      </c>
      <c r="AQ8">
        <f t="shared" si="9"/>
        <v>326.20000000000005</v>
      </c>
      <c r="AS8" s="5">
        <v>4</v>
      </c>
      <c r="AT8" s="6">
        <v>200</v>
      </c>
      <c r="BC8" s="5" t="s">
        <v>35</v>
      </c>
      <c r="BD8" s="6">
        <v>152796.39999999994</v>
      </c>
      <c r="BE8" s="6">
        <v>2666</v>
      </c>
    </row>
    <row r="9" spans="1:57" x14ac:dyDescent="0.3">
      <c r="A9" s="5">
        <v>1</v>
      </c>
      <c r="B9" s="6">
        <v>546</v>
      </c>
      <c r="C9" s="6">
        <v>32413.300000000003</v>
      </c>
      <c r="E9" s="11" t="s">
        <v>8</v>
      </c>
      <c r="F9" s="10" t="s">
        <v>2525</v>
      </c>
      <c r="G9" s="10" t="s">
        <v>2526</v>
      </c>
      <c r="H9" s="10" t="s">
        <v>2527</v>
      </c>
      <c r="I9" s="10" t="s">
        <v>2528</v>
      </c>
      <c r="K9" s="12" t="str">
        <f>E9</f>
        <v>Order Mode</v>
      </c>
      <c r="L9" s="12" t="str">
        <f t="shared" ref="L9:O9" si="10">F9</f>
        <v>Female</v>
      </c>
      <c r="M9" s="12" t="str">
        <f t="shared" si="10"/>
        <v>Male</v>
      </c>
      <c r="N9" s="12" t="str">
        <f t="shared" si="10"/>
        <v>Other</v>
      </c>
      <c r="O9" s="12" t="str">
        <f t="shared" si="10"/>
        <v>Unknown</v>
      </c>
      <c r="S9" s="5">
        <v>6</v>
      </c>
      <c r="T9" s="6">
        <v>122</v>
      </c>
      <c r="V9" s="5" t="s">
        <v>54</v>
      </c>
      <c r="W9" s="6">
        <v>482</v>
      </c>
      <c r="X9" s="6">
        <v>295</v>
      </c>
      <c r="Y9" s="6">
        <v>8</v>
      </c>
      <c r="Z9" s="6">
        <v>22</v>
      </c>
      <c r="AF9" s="5" t="s">
        <v>19</v>
      </c>
      <c r="AG9" s="5" t="s">
        <v>1383</v>
      </c>
      <c r="AH9" s="6">
        <v>4</v>
      </c>
      <c r="AI9" s="6">
        <v>167.5</v>
      </c>
      <c r="AK9" t="str">
        <f t="shared" si="4"/>
        <v>California</v>
      </c>
      <c r="AL9" t="str">
        <f t="shared" si="5"/>
        <v>Colusa County</v>
      </c>
      <c r="AM9">
        <f t="shared" si="6"/>
        <v>4</v>
      </c>
      <c r="AO9" t="str">
        <f t="shared" si="7"/>
        <v>California</v>
      </c>
      <c r="AP9" t="str">
        <f t="shared" si="8"/>
        <v>Colusa County</v>
      </c>
      <c r="AQ9">
        <f t="shared" si="9"/>
        <v>167.5</v>
      </c>
      <c r="AS9" s="5">
        <v>5</v>
      </c>
      <c r="AT9" s="6">
        <v>94</v>
      </c>
    </row>
    <row r="10" spans="1:57" ht="15" thickBot="1" x14ac:dyDescent="0.35">
      <c r="A10" s="5">
        <v>2</v>
      </c>
      <c r="B10" s="6">
        <v>905</v>
      </c>
      <c r="C10" s="6">
        <v>49562.999999999993</v>
      </c>
      <c r="E10" s="10" t="s">
        <v>18</v>
      </c>
      <c r="F10" s="10">
        <v>0.19</v>
      </c>
      <c r="G10" s="10">
        <v>0.13958333333333334</v>
      </c>
      <c r="H10" s="10">
        <v>1.1666666666666667E-2</v>
      </c>
      <c r="I10" s="10">
        <v>2.0416666666666666E-2</v>
      </c>
      <c r="K10" s="12" t="str">
        <f t="shared" ref="K10:K14" si="11">E10</f>
        <v>App</v>
      </c>
      <c r="L10" s="13">
        <f t="shared" ref="L10:L14" si="12">F10</f>
        <v>0.19</v>
      </c>
      <c r="M10" s="13">
        <f t="shared" ref="M10:M14" si="13">G10</f>
        <v>0.13958333333333334</v>
      </c>
      <c r="N10" s="13">
        <f t="shared" ref="N10:N14" si="14">H10</f>
        <v>1.1666666666666667E-2</v>
      </c>
      <c r="O10" s="14">
        <f t="shared" ref="O10:O14" si="15">I10</f>
        <v>2.0416666666666666E-2</v>
      </c>
      <c r="S10" s="5">
        <v>7</v>
      </c>
      <c r="T10" s="6">
        <v>114</v>
      </c>
      <c r="V10" s="5" t="s">
        <v>16</v>
      </c>
      <c r="W10" s="6">
        <v>428</v>
      </c>
      <c r="X10" s="6">
        <v>293</v>
      </c>
      <c r="Y10" s="6"/>
      <c r="Z10" s="6">
        <v>24</v>
      </c>
      <c r="AF10" s="5" t="s">
        <v>19</v>
      </c>
      <c r="AG10" s="5" t="s">
        <v>24</v>
      </c>
      <c r="AH10" s="6">
        <v>341</v>
      </c>
      <c r="AI10" s="6">
        <v>16168.7</v>
      </c>
      <c r="AK10" t="str">
        <f t="shared" si="4"/>
        <v>California</v>
      </c>
      <c r="AL10" t="str">
        <f t="shared" si="5"/>
        <v>Contra Costa County</v>
      </c>
      <c r="AM10">
        <f t="shared" si="6"/>
        <v>341</v>
      </c>
      <c r="AO10" t="str">
        <f t="shared" si="7"/>
        <v>California</v>
      </c>
      <c r="AP10" t="str">
        <f t="shared" si="8"/>
        <v>Contra Costa County</v>
      </c>
      <c r="AQ10">
        <f t="shared" si="9"/>
        <v>16168.7</v>
      </c>
      <c r="AS10" s="5">
        <v>6</v>
      </c>
      <c r="AT10" s="6">
        <v>51</v>
      </c>
    </row>
    <row r="11" spans="1:57" ht="15" thickBot="1" x14ac:dyDescent="0.35">
      <c r="A11" s="5">
        <v>3</v>
      </c>
      <c r="B11" s="6">
        <v>796</v>
      </c>
      <c r="C11" s="6">
        <v>41700.400000000016</v>
      </c>
      <c r="E11" s="10" t="s">
        <v>51</v>
      </c>
      <c r="F11" s="10">
        <v>4.9583333333333333E-2</v>
      </c>
      <c r="G11" s="10">
        <v>4.5416666666666668E-2</v>
      </c>
      <c r="H11" s="10">
        <v>1.6666666666666668E-3</v>
      </c>
      <c r="I11" s="10">
        <v>6.6666666666666671E-3</v>
      </c>
      <c r="K11" s="12" t="str">
        <f t="shared" si="11"/>
        <v>Instagram</v>
      </c>
      <c r="L11" s="15">
        <f t="shared" si="12"/>
        <v>4.9583333333333333E-2</v>
      </c>
      <c r="M11" s="15">
        <f t="shared" si="13"/>
        <v>4.5416666666666668E-2</v>
      </c>
      <c r="N11" s="15">
        <f t="shared" si="14"/>
        <v>1.6666666666666668E-3</v>
      </c>
      <c r="O11" s="16">
        <f t="shared" si="15"/>
        <v>6.6666666666666671E-3</v>
      </c>
      <c r="S11" s="5">
        <v>8</v>
      </c>
      <c r="T11" s="6">
        <v>73</v>
      </c>
      <c r="V11" s="5" t="s">
        <v>46</v>
      </c>
      <c r="W11" s="6">
        <v>445</v>
      </c>
      <c r="X11" s="6">
        <v>202</v>
      </c>
      <c r="Y11" s="6">
        <v>14</v>
      </c>
      <c r="Z11" s="6">
        <v>39</v>
      </c>
      <c r="AF11" s="5" t="s">
        <v>19</v>
      </c>
      <c r="AG11" s="5" t="s">
        <v>2204</v>
      </c>
      <c r="AH11" s="6">
        <v>13</v>
      </c>
      <c r="AI11" s="6">
        <v>322.40000000000003</v>
      </c>
      <c r="AK11" t="str">
        <f t="shared" si="4"/>
        <v>California</v>
      </c>
      <c r="AL11" t="str">
        <f t="shared" si="5"/>
        <v>Del Norte County</v>
      </c>
      <c r="AM11">
        <f t="shared" si="6"/>
        <v>13</v>
      </c>
      <c r="AO11" t="str">
        <f t="shared" si="7"/>
        <v>California</v>
      </c>
      <c r="AP11" t="str">
        <f t="shared" si="8"/>
        <v>Del Norte County</v>
      </c>
      <c r="AQ11">
        <f t="shared" si="9"/>
        <v>322.40000000000003</v>
      </c>
      <c r="AS11" s="5">
        <v>7</v>
      </c>
      <c r="AT11" s="6">
        <v>32</v>
      </c>
    </row>
    <row r="12" spans="1:57" ht="15" thickBot="1" x14ac:dyDescent="0.35">
      <c r="A12" s="5">
        <v>4</v>
      </c>
      <c r="B12" s="6">
        <v>913</v>
      </c>
      <c r="C12" s="6">
        <v>46782.599999999984</v>
      </c>
      <c r="E12" s="10" t="s">
        <v>70</v>
      </c>
      <c r="F12" s="10">
        <v>5.7916666666666665E-2</v>
      </c>
      <c r="G12" s="10">
        <v>4.2083333333333334E-2</v>
      </c>
      <c r="H12" s="10">
        <v>4.5833333333333334E-3</v>
      </c>
      <c r="I12" s="10">
        <v>4.5833333333333334E-3</v>
      </c>
      <c r="K12" s="12" t="str">
        <f t="shared" si="11"/>
        <v>Partner App</v>
      </c>
      <c r="L12" s="15">
        <f t="shared" si="12"/>
        <v>5.7916666666666665E-2</v>
      </c>
      <c r="M12" s="15">
        <f t="shared" si="13"/>
        <v>4.2083333333333334E-2</v>
      </c>
      <c r="N12" s="15">
        <f t="shared" si="14"/>
        <v>4.5833333333333334E-3</v>
      </c>
      <c r="O12" s="16">
        <f t="shared" si="15"/>
        <v>4.5833333333333334E-3</v>
      </c>
      <c r="S12" s="5">
        <v>9</v>
      </c>
      <c r="T12" s="6">
        <v>52</v>
      </c>
      <c r="V12" s="5" t="s">
        <v>32</v>
      </c>
      <c r="W12" s="6">
        <v>431</v>
      </c>
      <c r="X12" s="6">
        <v>187</v>
      </c>
      <c r="Y12" s="6">
        <v>14</v>
      </c>
      <c r="Z12" s="6">
        <v>15</v>
      </c>
      <c r="AF12" s="5" t="s">
        <v>19</v>
      </c>
      <c r="AG12" s="5" t="s">
        <v>437</v>
      </c>
      <c r="AH12" s="6">
        <v>31</v>
      </c>
      <c r="AI12" s="6">
        <v>2092.8000000000002</v>
      </c>
      <c r="AK12" t="str">
        <f t="shared" si="4"/>
        <v>California</v>
      </c>
      <c r="AL12" t="str">
        <f t="shared" si="5"/>
        <v>El Dorado County</v>
      </c>
      <c r="AM12">
        <f t="shared" si="6"/>
        <v>31</v>
      </c>
      <c r="AO12" t="str">
        <f t="shared" si="7"/>
        <v>California</v>
      </c>
      <c r="AP12" t="str">
        <f t="shared" si="8"/>
        <v>El Dorado County</v>
      </c>
      <c r="AQ12">
        <f t="shared" si="9"/>
        <v>2092.8000000000002</v>
      </c>
      <c r="AS12" s="5">
        <v>8</v>
      </c>
      <c r="AT12" s="6">
        <v>23</v>
      </c>
    </row>
    <row r="13" spans="1:57" ht="15" thickBot="1" x14ac:dyDescent="0.35">
      <c r="A13" s="5">
        <v>5</v>
      </c>
      <c r="B13" s="6">
        <v>844</v>
      </c>
      <c r="C13" s="6">
        <v>42676.100000000006</v>
      </c>
      <c r="E13" s="10" t="s">
        <v>40</v>
      </c>
      <c r="F13" s="10">
        <v>9.4166666666666662E-2</v>
      </c>
      <c r="G13" s="10">
        <v>7.6249999999999998E-2</v>
      </c>
      <c r="H13" s="10">
        <v>6.6666666666666671E-3</v>
      </c>
      <c r="I13" s="10">
        <v>1.1666666666666667E-2</v>
      </c>
      <c r="K13" s="12" t="str">
        <f t="shared" si="11"/>
        <v>Target.com</v>
      </c>
      <c r="L13" s="15">
        <f t="shared" si="12"/>
        <v>9.4166666666666662E-2</v>
      </c>
      <c r="M13" s="15">
        <f t="shared" si="13"/>
        <v>7.6249999999999998E-2</v>
      </c>
      <c r="N13" s="15">
        <f t="shared" si="14"/>
        <v>6.6666666666666671E-3</v>
      </c>
      <c r="O13" s="16">
        <f t="shared" si="15"/>
        <v>1.1666666666666667E-2</v>
      </c>
      <c r="S13" s="5">
        <v>10</v>
      </c>
      <c r="T13" s="6">
        <v>53</v>
      </c>
      <c r="V13" s="5" t="s">
        <v>42</v>
      </c>
      <c r="W13" s="6">
        <v>264</v>
      </c>
      <c r="X13" s="6">
        <v>318</v>
      </c>
      <c r="Y13" s="6">
        <v>15</v>
      </c>
      <c r="Z13" s="6">
        <v>9</v>
      </c>
      <c r="AF13" s="5" t="s">
        <v>19</v>
      </c>
      <c r="AG13" s="5" t="s">
        <v>28</v>
      </c>
      <c r="AH13" s="6">
        <v>279</v>
      </c>
      <c r="AI13" s="6">
        <v>12662.500000000002</v>
      </c>
      <c r="AK13" t="str">
        <f t="shared" si="4"/>
        <v>California</v>
      </c>
      <c r="AL13" t="str">
        <f t="shared" si="5"/>
        <v>Fresno County</v>
      </c>
      <c r="AM13">
        <f t="shared" si="6"/>
        <v>279</v>
      </c>
      <c r="AO13" t="str">
        <f t="shared" si="7"/>
        <v>California</v>
      </c>
      <c r="AP13" t="str">
        <f t="shared" si="8"/>
        <v>Fresno County</v>
      </c>
      <c r="AQ13">
        <f t="shared" si="9"/>
        <v>12662.500000000002</v>
      </c>
      <c r="AS13" s="5">
        <v>9</v>
      </c>
      <c r="AT13" s="6">
        <v>9</v>
      </c>
    </row>
    <row r="14" spans="1:57" x14ac:dyDescent="0.3">
      <c r="A14" s="5">
        <v>6</v>
      </c>
      <c r="B14" s="6">
        <v>1202</v>
      </c>
      <c r="C14" s="6">
        <v>62910.7</v>
      </c>
      <c r="E14" s="10" t="s">
        <v>35</v>
      </c>
      <c r="F14" s="10">
        <v>0.12125</v>
      </c>
      <c r="G14" s="10">
        <v>9.6250000000000002E-2</v>
      </c>
      <c r="H14" s="10">
        <v>6.6666666666666671E-3</v>
      </c>
      <c r="I14" s="10">
        <v>1.2916666666666667E-2</v>
      </c>
      <c r="K14" s="12" t="str">
        <f t="shared" si="11"/>
        <v>Website</v>
      </c>
      <c r="L14" s="17">
        <f t="shared" si="12"/>
        <v>0.12125</v>
      </c>
      <c r="M14" s="17">
        <f t="shared" si="13"/>
        <v>9.6250000000000002E-2</v>
      </c>
      <c r="N14" s="17">
        <f t="shared" si="14"/>
        <v>6.6666666666666671E-3</v>
      </c>
      <c r="O14" s="18">
        <f t="shared" si="15"/>
        <v>1.2916666666666667E-2</v>
      </c>
      <c r="S14" s="5">
        <v>11</v>
      </c>
      <c r="T14" s="6">
        <v>37</v>
      </c>
      <c r="V14" s="5" t="s">
        <v>37</v>
      </c>
      <c r="W14" s="6">
        <v>296</v>
      </c>
      <c r="X14" s="6">
        <v>275</v>
      </c>
      <c r="Y14" s="6">
        <v>9</v>
      </c>
      <c r="Z14" s="6">
        <v>23</v>
      </c>
      <c r="AF14" s="5" t="s">
        <v>19</v>
      </c>
      <c r="AG14" s="5" t="s">
        <v>208</v>
      </c>
      <c r="AH14" s="6">
        <v>9</v>
      </c>
      <c r="AI14" s="6">
        <v>343.2</v>
      </c>
      <c r="AK14" t="str">
        <f t="shared" si="4"/>
        <v>California</v>
      </c>
      <c r="AL14" t="str">
        <f t="shared" si="5"/>
        <v>Glenn County</v>
      </c>
      <c r="AM14">
        <f t="shared" si="6"/>
        <v>9</v>
      </c>
      <c r="AO14" t="str">
        <f t="shared" si="7"/>
        <v>California</v>
      </c>
      <c r="AP14" t="str">
        <f t="shared" si="8"/>
        <v>Glenn County</v>
      </c>
      <c r="AQ14">
        <f t="shared" si="9"/>
        <v>343.2</v>
      </c>
      <c r="AS14" s="5">
        <v>10</v>
      </c>
      <c r="AT14" s="6">
        <v>8</v>
      </c>
    </row>
    <row r="15" spans="1:57" x14ac:dyDescent="0.3">
      <c r="A15" s="5">
        <v>7</v>
      </c>
      <c r="B15" s="6">
        <v>935</v>
      </c>
      <c r="C15" s="6">
        <v>50332.200000000004</v>
      </c>
      <c r="S15" s="5">
        <v>12</v>
      </c>
      <c r="T15" s="6">
        <v>33</v>
      </c>
      <c r="V15" s="5" t="s">
        <v>123</v>
      </c>
      <c r="W15" s="6">
        <v>153</v>
      </c>
      <c r="X15" s="6">
        <v>246</v>
      </c>
      <c r="Y15" s="6">
        <v>30</v>
      </c>
      <c r="Z15" s="6">
        <v>8</v>
      </c>
      <c r="AF15" s="5" t="s">
        <v>19</v>
      </c>
      <c r="AG15" s="5" t="s">
        <v>587</v>
      </c>
      <c r="AH15" s="6">
        <v>49</v>
      </c>
      <c r="AI15" s="6">
        <v>2188.2999999999997</v>
      </c>
      <c r="AK15" t="str">
        <f t="shared" si="4"/>
        <v>California</v>
      </c>
      <c r="AL15" t="str">
        <f t="shared" si="5"/>
        <v>Humboldt County</v>
      </c>
      <c r="AM15">
        <f t="shared" si="6"/>
        <v>49</v>
      </c>
      <c r="AO15" t="str">
        <f t="shared" si="7"/>
        <v>California</v>
      </c>
      <c r="AP15" t="str">
        <f t="shared" si="8"/>
        <v>Humboldt County</v>
      </c>
      <c r="AQ15">
        <f t="shared" si="9"/>
        <v>2188.2999999999997</v>
      </c>
      <c r="AS15" s="5">
        <v>11</v>
      </c>
      <c r="AT15" s="6">
        <v>11</v>
      </c>
    </row>
    <row r="16" spans="1:57" x14ac:dyDescent="0.3">
      <c r="A16" s="5">
        <v>8</v>
      </c>
      <c r="B16" s="6">
        <v>1128</v>
      </c>
      <c r="C16" s="6">
        <v>58760.599999999977</v>
      </c>
      <c r="S16" s="5">
        <v>13</v>
      </c>
      <c r="T16" s="6">
        <v>23</v>
      </c>
      <c r="V16" s="5" t="s">
        <v>146</v>
      </c>
      <c r="W16" s="6">
        <v>189</v>
      </c>
      <c r="X16" s="6">
        <v>168</v>
      </c>
      <c r="Y16" s="6">
        <v>10</v>
      </c>
      <c r="Z16" s="6">
        <v>31</v>
      </c>
      <c r="AF16" s="5" t="s">
        <v>19</v>
      </c>
      <c r="AG16" s="5" t="s">
        <v>331</v>
      </c>
      <c r="AH16" s="6">
        <v>59</v>
      </c>
      <c r="AI16" s="6">
        <v>2661.5999999999995</v>
      </c>
      <c r="AK16" t="str">
        <f t="shared" si="4"/>
        <v>California</v>
      </c>
      <c r="AL16" t="str">
        <f t="shared" si="5"/>
        <v>Imperial County</v>
      </c>
      <c r="AM16">
        <f t="shared" si="6"/>
        <v>59</v>
      </c>
      <c r="AO16" t="str">
        <f t="shared" si="7"/>
        <v>California</v>
      </c>
      <c r="AP16" t="str">
        <f t="shared" si="8"/>
        <v>Imperial County</v>
      </c>
      <c r="AQ16">
        <f t="shared" si="9"/>
        <v>2661.5999999999995</v>
      </c>
      <c r="AS16" s="5">
        <v>12</v>
      </c>
      <c r="AT16" s="6">
        <v>4</v>
      </c>
    </row>
    <row r="17" spans="1:46" x14ac:dyDescent="0.3">
      <c r="A17" s="5">
        <v>9</v>
      </c>
      <c r="B17" s="6">
        <v>1007</v>
      </c>
      <c r="C17" s="6">
        <v>52017.299999999996</v>
      </c>
      <c r="S17" s="5">
        <v>14</v>
      </c>
      <c r="T17" s="6">
        <v>17</v>
      </c>
      <c r="V17" s="5" t="s">
        <v>69</v>
      </c>
      <c r="W17" s="6">
        <v>234</v>
      </c>
      <c r="X17" s="6">
        <v>93</v>
      </c>
      <c r="Y17" s="6">
        <v>19</v>
      </c>
      <c r="Z17" s="6">
        <v>24</v>
      </c>
      <c r="AF17" s="5" t="s">
        <v>19</v>
      </c>
      <c r="AG17" s="5" t="s">
        <v>86</v>
      </c>
      <c r="AH17" s="6">
        <v>8</v>
      </c>
      <c r="AI17" s="6">
        <v>887.5</v>
      </c>
      <c r="AK17" t="str">
        <f t="shared" si="4"/>
        <v>California</v>
      </c>
      <c r="AL17" t="str">
        <f t="shared" si="5"/>
        <v>Inyo County</v>
      </c>
      <c r="AM17">
        <f t="shared" si="6"/>
        <v>8</v>
      </c>
      <c r="AO17" t="str">
        <f t="shared" si="7"/>
        <v>California</v>
      </c>
      <c r="AP17" t="str">
        <f t="shared" si="8"/>
        <v>Inyo County</v>
      </c>
      <c r="AQ17">
        <f t="shared" si="9"/>
        <v>887.5</v>
      </c>
      <c r="AS17" s="5">
        <v>13</v>
      </c>
      <c r="AT17" s="6">
        <v>10</v>
      </c>
    </row>
    <row r="18" spans="1:46" x14ac:dyDescent="0.3">
      <c r="A18" s="5">
        <v>10</v>
      </c>
      <c r="B18" s="6">
        <v>1128</v>
      </c>
      <c r="C18" s="6">
        <v>64915.700000000033</v>
      </c>
      <c r="S18" s="5">
        <v>15</v>
      </c>
      <c r="T18" s="6">
        <v>15</v>
      </c>
      <c r="V18" s="5" t="s">
        <v>30</v>
      </c>
      <c r="W18" s="6">
        <v>146</v>
      </c>
      <c r="X18" s="6">
        <v>94</v>
      </c>
      <c r="Y18" s="6">
        <v>4</v>
      </c>
      <c r="Z18" s="6">
        <v>28</v>
      </c>
      <c r="AF18" s="5" t="s">
        <v>19</v>
      </c>
      <c r="AG18" s="5" t="s">
        <v>147</v>
      </c>
      <c r="AH18" s="6">
        <v>222</v>
      </c>
      <c r="AI18" s="6">
        <v>11354.199999999993</v>
      </c>
      <c r="AK18" t="str">
        <f t="shared" si="4"/>
        <v>California</v>
      </c>
      <c r="AL18" t="str">
        <f t="shared" si="5"/>
        <v>Kern County</v>
      </c>
      <c r="AM18">
        <f t="shared" si="6"/>
        <v>222</v>
      </c>
      <c r="AO18" t="str">
        <f t="shared" si="7"/>
        <v>California</v>
      </c>
      <c r="AP18" t="str">
        <f t="shared" si="8"/>
        <v>Kern County</v>
      </c>
      <c r="AQ18">
        <f t="shared" si="9"/>
        <v>11354.199999999993</v>
      </c>
      <c r="AS18" s="5">
        <v>14</v>
      </c>
      <c r="AT18" s="6">
        <v>13</v>
      </c>
    </row>
    <row r="19" spans="1:46" x14ac:dyDescent="0.3">
      <c r="A19" s="5">
        <v>11</v>
      </c>
      <c r="B19" s="6">
        <v>861</v>
      </c>
      <c r="C19" s="6">
        <v>45943.80000000001</v>
      </c>
      <c r="S19" s="5">
        <v>16</v>
      </c>
      <c r="T19" s="6">
        <v>13</v>
      </c>
      <c r="V19" s="5" t="s">
        <v>135</v>
      </c>
      <c r="W19" s="6">
        <v>127</v>
      </c>
      <c r="X19" s="6">
        <v>118</v>
      </c>
      <c r="Y19" s="6">
        <v>13</v>
      </c>
      <c r="Z19" s="6">
        <v>12</v>
      </c>
      <c r="AF19" s="5" t="s">
        <v>19</v>
      </c>
      <c r="AG19" s="5" t="s">
        <v>334</v>
      </c>
      <c r="AH19" s="6">
        <v>36</v>
      </c>
      <c r="AI19" s="6">
        <v>1558.4</v>
      </c>
      <c r="AK19" t="str">
        <f t="shared" si="4"/>
        <v>California</v>
      </c>
      <c r="AL19" t="str">
        <f t="shared" si="5"/>
        <v>Kings County</v>
      </c>
      <c r="AM19">
        <f t="shared" si="6"/>
        <v>36</v>
      </c>
      <c r="AO19" t="str">
        <f t="shared" si="7"/>
        <v>California</v>
      </c>
      <c r="AP19" t="str">
        <f t="shared" si="8"/>
        <v>Kings County</v>
      </c>
      <c r="AQ19">
        <f t="shared" si="9"/>
        <v>1558.4</v>
      </c>
    </row>
    <row r="20" spans="1:46" x14ac:dyDescent="0.3">
      <c r="A20" s="5">
        <v>12</v>
      </c>
      <c r="B20" s="6">
        <v>944</v>
      </c>
      <c r="C20" s="6">
        <v>55077.900000000031</v>
      </c>
      <c r="S20" s="5">
        <v>17</v>
      </c>
      <c r="T20" s="6">
        <v>10</v>
      </c>
      <c r="V20" s="5" t="s">
        <v>67</v>
      </c>
      <c r="W20" s="6">
        <v>179</v>
      </c>
      <c r="X20" s="6">
        <v>76</v>
      </c>
      <c r="Y20" s="6">
        <v>3</v>
      </c>
      <c r="Z20" s="6"/>
      <c r="AF20" s="5" t="s">
        <v>19</v>
      </c>
      <c r="AG20" s="5" t="s">
        <v>949</v>
      </c>
      <c r="AH20" s="6">
        <v>30</v>
      </c>
      <c r="AI20" s="6">
        <v>2223.9</v>
      </c>
      <c r="AK20" t="str">
        <f t="shared" si="4"/>
        <v>California</v>
      </c>
      <c r="AL20" t="str">
        <f t="shared" si="5"/>
        <v>Lake County</v>
      </c>
      <c r="AM20">
        <f t="shared" si="6"/>
        <v>30</v>
      </c>
      <c r="AO20" t="str">
        <f t="shared" si="7"/>
        <v>California</v>
      </c>
      <c r="AP20" t="str">
        <f t="shared" si="8"/>
        <v>Lake County</v>
      </c>
      <c r="AQ20">
        <f t="shared" si="9"/>
        <v>2223.9</v>
      </c>
    </row>
    <row r="21" spans="1:46" x14ac:dyDescent="0.3">
      <c r="A21" s="5">
        <v>13</v>
      </c>
      <c r="B21" s="6">
        <v>788</v>
      </c>
      <c r="C21" s="6">
        <v>45926.19999999999</v>
      </c>
      <c r="S21" s="5">
        <v>18</v>
      </c>
      <c r="T21" s="6">
        <v>10</v>
      </c>
      <c r="V21" s="5" t="s">
        <v>128</v>
      </c>
      <c r="W21" s="6">
        <v>99</v>
      </c>
      <c r="X21" s="6">
        <v>69</v>
      </c>
      <c r="Y21" s="6">
        <v>3</v>
      </c>
      <c r="Z21" s="6">
        <v>24</v>
      </c>
      <c r="AF21" s="5" t="s">
        <v>19</v>
      </c>
      <c r="AG21" s="5" t="s">
        <v>1426</v>
      </c>
      <c r="AH21" s="6">
        <v>1</v>
      </c>
      <c r="AI21" s="6">
        <v>26.2</v>
      </c>
      <c r="AK21" t="str">
        <f t="shared" si="4"/>
        <v>California</v>
      </c>
      <c r="AL21" t="str">
        <f t="shared" si="5"/>
        <v>Lassen County</v>
      </c>
      <c r="AM21">
        <f t="shared" si="6"/>
        <v>1</v>
      </c>
      <c r="AO21" t="str">
        <f t="shared" si="7"/>
        <v>California</v>
      </c>
      <c r="AP21" t="str">
        <f t="shared" si="8"/>
        <v>Lassen County</v>
      </c>
      <c r="AQ21">
        <f t="shared" si="9"/>
        <v>26.2</v>
      </c>
    </row>
    <row r="22" spans="1:46" x14ac:dyDescent="0.3">
      <c r="S22" s="5">
        <v>19</v>
      </c>
      <c r="T22" s="6">
        <v>13</v>
      </c>
      <c r="V22" s="5" t="s">
        <v>76</v>
      </c>
      <c r="W22" s="6">
        <v>75</v>
      </c>
      <c r="X22" s="6">
        <v>103</v>
      </c>
      <c r="Y22" s="6">
        <v>4</v>
      </c>
      <c r="Z22" s="6">
        <v>6</v>
      </c>
      <c r="AF22" s="5" t="s">
        <v>19</v>
      </c>
      <c r="AG22" s="5" t="s">
        <v>33</v>
      </c>
      <c r="AH22" s="6">
        <v>3991</v>
      </c>
      <c r="AI22" s="6">
        <v>215551.19999999981</v>
      </c>
      <c r="AK22" t="str">
        <f t="shared" si="4"/>
        <v>California</v>
      </c>
      <c r="AL22" t="str">
        <f t="shared" si="5"/>
        <v>Los Angeles County</v>
      </c>
      <c r="AM22">
        <f t="shared" si="6"/>
        <v>3991</v>
      </c>
      <c r="AO22" t="str">
        <f t="shared" si="7"/>
        <v>California</v>
      </c>
      <c r="AP22" t="str">
        <f t="shared" si="8"/>
        <v>Los Angeles County</v>
      </c>
      <c r="AQ22">
        <f t="shared" si="9"/>
        <v>215551.19999999981</v>
      </c>
    </row>
    <row r="23" spans="1:46" x14ac:dyDescent="0.3">
      <c r="S23" s="5">
        <v>20</v>
      </c>
      <c r="T23" s="6">
        <v>4</v>
      </c>
      <c r="V23" s="5" t="s">
        <v>81</v>
      </c>
      <c r="W23" s="6">
        <v>43</v>
      </c>
      <c r="X23" s="6">
        <v>90</v>
      </c>
      <c r="Y23" s="6">
        <v>8</v>
      </c>
      <c r="Z23" s="6">
        <v>6</v>
      </c>
      <c r="AF23" s="5" t="s">
        <v>19</v>
      </c>
      <c r="AG23" s="5" t="s">
        <v>364</v>
      </c>
      <c r="AH23" s="6">
        <v>45</v>
      </c>
      <c r="AI23" s="6">
        <v>2687.3999999999996</v>
      </c>
      <c r="AK23" t="str">
        <f t="shared" si="4"/>
        <v>California</v>
      </c>
      <c r="AL23" t="str">
        <f t="shared" si="5"/>
        <v>Madera County</v>
      </c>
      <c r="AM23">
        <f t="shared" si="6"/>
        <v>45</v>
      </c>
      <c r="AO23" t="str">
        <f t="shared" si="7"/>
        <v>California</v>
      </c>
      <c r="AP23" t="str">
        <f t="shared" si="8"/>
        <v>Madera County</v>
      </c>
      <c r="AQ23">
        <f t="shared" si="9"/>
        <v>2687.3999999999996</v>
      </c>
    </row>
    <row r="24" spans="1:46" x14ac:dyDescent="0.3">
      <c r="S24" s="5">
        <v>21</v>
      </c>
      <c r="T24" s="6">
        <v>4</v>
      </c>
      <c r="V24" s="5" t="s">
        <v>171</v>
      </c>
      <c r="W24" s="6">
        <v>26</v>
      </c>
      <c r="X24" s="6">
        <v>35</v>
      </c>
      <c r="Y24" s="6">
        <v>4</v>
      </c>
      <c r="Z24" s="6"/>
      <c r="AF24" s="5" t="s">
        <v>19</v>
      </c>
      <c r="AG24" s="5" t="s">
        <v>545</v>
      </c>
      <c r="AH24" s="6">
        <v>39</v>
      </c>
      <c r="AI24" s="6">
        <v>1463.3000000000002</v>
      </c>
      <c r="AK24" t="str">
        <f t="shared" si="4"/>
        <v>California</v>
      </c>
      <c r="AL24" t="str">
        <f t="shared" si="5"/>
        <v>Marin County</v>
      </c>
      <c r="AM24">
        <f t="shared" si="6"/>
        <v>39</v>
      </c>
      <c r="AO24" t="str">
        <f t="shared" si="7"/>
        <v>California</v>
      </c>
      <c r="AP24" t="str">
        <f t="shared" si="8"/>
        <v>Marin County</v>
      </c>
      <c r="AQ24">
        <f t="shared" si="9"/>
        <v>1463.3000000000002</v>
      </c>
    </row>
    <row r="25" spans="1:46" x14ac:dyDescent="0.3">
      <c r="S25" s="5">
        <v>22</v>
      </c>
      <c r="T25" s="6">
        <v>4</v>
      </c>
      <c r="AF25" s="5" t="s">
        <v>19</v>
      </c>
      <c r="AG25" s="5" t="s">
        <v>416</v>
      </c>
      <c r="AH25" s="6">
        <v>6</v>
      </c>
      <c r="AI25" s="6">
        <v>445.79999999999995</v>
      </c>
      <c r="AK25" t="str">
        <f t="shared" si="4"/>
        <v>California</v>
      </c>
      <c r="AL25" t="str">
        <f t="shared" si="5"/>
        <v>Mariposa County</v>
      </c>
      <c r="AM25">
        <f t="shared" si="6"/>
        <v>6</v>
      </c>
      <c r="AO25" t="str">
        <f t="shared" si="7"/>
        <v>California</v>
      </c>
      <c r="AP25" t="str">
        <f t="shared" si="8"/>
        <v>Mariposa County</v>
      </c>
      <c r="AQ25">
        <f t="shared" si="9"/>
        <v>445.79999999999995</v>
      </c>
    </row>
    <row r="26" spans="1:46" x14ac:dyDescent="0.3">
      <c r="S26" s="5">
        <v>23</v>
      </c>
      <c r="T26" s="6">
        <v>4</v>
      </c>
      <c r="AF26" s="5" t="s">
        <v>19</v>
      </c>
      <c r="AG26" s="5" t="s">
        <v>258</v>
      </c>
      <c r="AH26" s="6">
        <v>9</v>
      </c>
      <c r="AI26" s="6">
        <v>273.59999999999997</v>
      </c>
      <c r="AK26" t="str">
        <f t="shared" si="4"/>
        <v>California</v>
      </c>
      <c r="AL26" t="str">
        <f t="shared" si="5"/>
        <v>Mendocino County</v>
      </c>
      <c r="AM26">
        <f t="shared" si="6"/>
        <v>9</v>
      </c>
      <c r="AO26" t="str">
        <f t="shared" si="7"/>
        <v>California</v>
      </c>
      <c r="AP26" t="str">
        <f t="shared" si="8"/>
        <v>Mendocino County</v>
      </c>
      <c r="AQ26">
        <f t="shared" si="9"/>
        <v>273.59999999999997</v>
      </c>
    </row>
    <row r="27" spans="1:46" x14ac:dyDescent="0.3">
      <c r="S27" s="5">
        <v>24</v>
      </c>
      <c r="T27" s="6">
        <v>3</v>
      </c>
      <c r="AF27" s="5" t="s">
        <v>19</v>
      </c>
      <c r="AG27" s="5" t="s">
        <v>186</v>
      </c>
      <c r="AH27" s="6">
        <v>60</v>
      </c>
      <c r="AI27" s="6">
        <v>2690.4</v>
      </c>
      <c r="AK27" t="str">
        <f t="shared" si="4"/>
        <v>California</v>
      </c>
      <c r="AL27" t="str">
        <f t="shared" si="5"/>
        <v>Merced County</v>
      </c>
      <c r="AM27">
        <f t="shared" si="6"/>
        <v>60</v>
      </c>
      <c r="AO27" t="str">
        <f t="shared" si="7"/>
        <v>California</v>
      </c>
      <c r="AP27" t="str">
        <f t="shared" si="8"/>
        <v>Merced County</v>
      </c>
      <c r="AQ27">
        <f t="shared" si="9"/>
        <v>2690.4</v>
      </c>
    </row>
    <row r="28" spans="1:46" x14ac:dyDescent="0.3">
      <c r="S28" s="5">
        <v>25</v>
      </c>
      <c r="T28" s="6">
        <v>3</v>
      </c>
      <c r="AF28" s="5" t="s">
        <v>19</v>
      </c>
      <c r="AG28" s="5" t="s">
        <v>392</v>
      </c>
      <c r="AH28" s="6">
        <v>2</v>
      </c>
      <c r="AI28" s="6">
        <v>28.4</v>
      </c>
      <c r="AK28" t="str">
        <f t="shared" si="4"/>
        <v>California</v>
      </c>
      <c r="AL28" t="str">
        <f t="shared" si="5"/>
        <v>Modoc County</v>
      </c>
      <c r="AM28">
        <f t="shared" si="6"/>
        <v>2</v>
      </c>
      <c r="AO28" t="str">
        <f t="shared" si="7"/>
        <v>California</v>
      </c>
      <c r="AP28" t="str">
        <f t="shared" si="8"/>
        <v>Modoc County</v>
      </c>
      <c r="AQ28">
        <f t="shared" si="9"/>
        <v>28.4</v>
      </c>
    </row>
    <row r="29" spans="1:46" x14ac:dyDescent="0.3">
      <c r="S29" s="5">
        <v>26</v>
      </c>
      <c r="T29" s="6">
        <v>4</v>
      </c>
      <c r="AF29" s="5" t="s">
        <v>19</v>
      </c>
      <c r="AG29" s="5" t="s">
        <v>670</v>
      </c>
      <c r="AH29" s="6">
        <v>4</v>
      </c>
      <c r="AI29" s="6">
        <v>204.8</v>
      </c>
      <c r="AK29" t="str">
        <f t="shared" si="4"/>
        <v>California</v>
      </c>
      <c r="AL29" t="str">
        <f t="shared" si="5"/>
        <v>Mono County</v>
      </c>
      <c r="AM29">
        <f t="shared" si="6"/>
        <v>4</v>
      </c>
      <c r="AO29" t="str">
        <f t="shared" si="7"/>
        <v>California</v>
      </c>
      <c r="AP29" t="str">
        <f t="shared" si="8"/>
        <v>Mono County</v>
      </c>
      <c r="AQ29">
        <f t="shared" si="9"/>
        <v>204.8</v>
      </c>
    </row>
    <row r="30" spans="1:46" x14ac:dyDescent="0.3">
      <c r="S30" s="5">
        <v>27</v>
      </c>
      <c r="T30" s="6">
        <v>4</v>
      </c>
      <c r="AF30" s="5" t="s">
        <v>19</v>
      </c>
      <c r="AG30" s="5" t="s">
        <v>802</v>
      </c>
      <c r="AH30" s="6">
        <v>31</v>
      </c>
      <c r="AI30" s="6">
        <v>1607.8999999999999</v>
      </c>
      <c r="AK30" t="str">
        <f t="shared" si="4"/>
        <v>California</v>
      </c>
      <c r="AL30" t="str">
        <f t="shared" si="5"/>
        <v>Monterey County</v>
      </c>
      <c r="AM30">
        <f t="shared" si="6"/>
        <v>31</v>
      </c>
      <c r="AO30" t="str">
        <f t="shared" si="7"/>
        <v>California</v>
      </c>
      <c r="AP30" t="str">
        <f t="shared" si="8"/>
        <v>Monterey County</v>
      </c>
      <c r="AQ30">
        <f t="shared" si="9"/>
        <v>1607.8999999999999</v>
      </c>
    </row>
    <row r="31" spans="1:46" x14ac:dyDescent="0.3">
      <c r="S31" s="5">
        <v>28</v>
      </c>
      <c r="T31" s="6">
        <v>5</v>
      </c>
      <c r="AF31" s="5" t="s">
        <v>19</v>
      </c>
      <c r="AG31" s="5" t="s">
        <v>98</v>
      </c>
      <c r="AH31" s="6">
        <v>88</v>
      </c>
      <c r="AI31" s="6">
        <v>6444.9</v>
      </c>
      <c r="AK31" t="str">
        <f t="shared" si="4"/>
        <v>California</v>
      </c>
      <c r="AL31" t="str">
        <f t="shared" si="5"/>
        <v>Napa County</v>
      </c>
      <c r="AM31">
        <f t="shared" si="6"/>
        <v>88</v>
      </c>
      <c r="AO31" t="str">
        <f t="shared" si="7"/>
        <v>California</v>
      </c>
      <c r="AP31" t="str">
        <f t="shared" si="8"/>
        <v>Napa County</v>
      </c>
      <c r="AQ31">
        <f t="shared" si="9"/>
        <v>6444.9</v>
      </c>
    </row>
    <row r="32" spans="1:46" x14ac:dyDescent="0.3">
      <c r="S32" s="5">
        <v>29</v>
      </c>
      <c r="T32" s="6">
        <v>2</v>
      </c>
      <c r="AF32" s="5" t="s">
        <v>19</v>
      </c>
      <c r="AG32" s="5" t="s">
        <v>49</v>
      </c>
      <c r="AH32" s="6">
        <v>25</v>
      </c>
      <c r="AI32" s="6">
        <v>1809.3</v>
      </c>
      <c r="AK32" t="str">
        <f t="shared" si="4"/>
        <v>California</v>
      </c>
      <c r="AL32" t="str">
        <f t="shared" si="5"/>
        <v>Nevada County</v>
      </c>
      <c r="AM32">
        <f t="shared" si="6"/>
        <v>25</v>
      </c>
      <c r="AO32" t="str">
        <f t="shared" si="7"/>
        <v>California</v>
      </c>
      <c r="AP32" t="str">
        <f t="shared" si="8"/>
        <v>Nevada County</v>
      </c>
      <c r="AQ32">
        <f t="shared" si="9"/>
        <v>1809.3</v>
      </c>
    </row>
    <row r="33" spans="19:43" x14ac:dyDescent="0.3">
      <c r="S33" s="5">
        <v>30</v>
      </c>
      <c r="T33" s="6">
        <v>4</v>
      </c>
      <c r="AF33" s="5" t="s">
        <v>19</v>
      </c>
      <c r="AG33" s="5" t="s">
        <v>188</v>
      </c>
      <c r="AH33" s="6">
        <v>178</v>
      </c>
      <c r="AI33" s="6">
        <v>9680.399999999996</v>
      </c>
      <c r="AK33" t="str">
        <f t="shared" si="4"/>
        <v>California</v>
      </c>
      <c r="AL33" t="str">
        <f t="shared" si="5"/>
        <v>Orange County</v>
      </c>
      <c r="AM33">
        <f t="shared" si="6"/>
        <v>178</v>
      </c>
      <c r="AO33" t="str">
        <f t="shared" si="7"/>
        <v>California</v>
      </c>
      <c r="AP33" t="str">
        <f t="shared" si="8"/>
        <v>Orange County</v>
      </c>
      <c r="AQ33">
        <f t="shared" si="9"/>
        <v>9680.399999999996</v>
      </c>
    </row>
    <row r="34" spans="19:43" x14ac:dyDescent="0.3">
      <c r="S34" s="5">
        <v>31</v>
      </c>
      <c r="T34" s="6">
        <v>1</v>
      </c>
      <c r="AF34" s="5" t="s">
        <v>19</v>
      </c>
      <c r="AG34" s="5" t="s">
        <v>52</v>
      </c>
      <c r="AH34" s="6">
        <v>141</v>
      </c>
      <c r="AI34" s="6">
        <v>9414.7999999999993</v>
      </c>
      <c r="AK34" t="str">
        <f t="shared" si="4"/>
        <v>California</v>
      </c>
      <c r="AL34" t="str">
        <f t="shared" si="5"/>
        <v>Placer County</v>
      </c>
      <c r="AM34">
        <f t="shared" si="6"/>
        <v>141</v>
      </c>
      <c r="AO34" t="str">
        <f t="shared" si="7"/>
        <v>California</v>
      </c>
      <c r="AP34" t="str">
        <f t="shared" si="8"/>
        <v>Placer County</v>
      </c>
      <c r="AQ34">
        <f t="shared" si="9"/>
        <v>9414.7999999999993</v>
      </c>
    </row>
    <row r="35" spans="19:43" x14ac:dyDescent="0.3">
      <c r="S35" s="5">
        <v>32</v>
      </c>
      <c r="T35" s="6">
        <v>1</v>
      </c>
      <c r="AF35" s="5" t="s">
        <v>19</v>
      </c>
      <c r="AG35" s="5" t="s">
        <v>338</v>
      </c>
      <c r="AH35" s="6">
        <v>6</v>
      </c>
      <c r="AI35" s="6">
        <v>206.1</v>
      </c>
      <c r="AK35" t="str">
        <f t="shared" si="4"/>
        <v>California</v>
      </c>
      <c r="AL35" t="str">
        <f t="shared" si="5"/>
        <v>Plumas County</v>
      </c>
      <c r="AM35">
        <f t="shared" si="6"/>
        <v>6</v>
      </c>
      <c r="AO35" t="str">
        <f t="shared" si="7"/>
        <v>California</v>
      </c>
      <c r="AP35" t="str">
        <f t="shared" si="8"/>
        <v>Plumas County</v>
      </c>
      <c r="AQ35">
        <f t="shared" si="9"/>
        <v>206.1</v>
      </c>
    </row>
    <row r="36" spans="19:43" x14ac:dyDescent="0.3">
      <c r="S36" s="5">
        <v>33</v>
      </c>
      <c r="T36" s="6">
        <v>1</v>
      </c>
      <c r="AF36" s="5" t="s">
        <v>19</v>
      </c>
      <c r="AG36" s="5" t="s">
        <v>158</v>
      </c>
      <c r="AH36" s="6">
        <v>178</v>
      </c>
      <c r="AI36" s="6">
        <v>7691.3</v>
      </c>
      <c r="AK36" t="str">
        <f t="shared" si="4"/>
        <v>California</v>
      </c>
      <c r="AL36" t="str">
        <f t="shared" si="5"/>
        <v>Riverside County</v>
      </c>
      <c r="AM36">
        <f t="shared" si="6"/>
        <v>178</v>
      </c>
      <c r="AO36" t="str">
        <f t="shared" si="7"/>
        <v>California</v>
      </c>
      <c r="AP36" t="str">
        <f t="shared" si="8"/>
        <v>Riverside County</v>
      </c>
      <c r="AQ36">
        <f t="shared" si="9"/>
        <v>7691.3</v>
      </c>
    </row>
    <row r="37" spans="19:43" x14ac:dyDescent="0.3">
      <c r="S37" s="5">
        <v>34</v>
      </c>
      <c r="T37" s="6">
        <v>2</v>
      </c>
      <c r="AF37" s="5" t="s">
        <v>19</v>
      </c>
      <c r="AG37" s="5" t="s">
        <v>55</v>
      </c>
      <c r="AH37" s="6">
        <v>699</v>
      </c>
      <c r="AI37" s="6">
        <v>37784.900000000016</v>
      </c>
      <c r="AK37" t="str">
        <f t="shared" si="4"/>
        <v>California</v>
      </c>
      <c r="AL37" t="str">
        <f t="shared" si="5"/>
        <v>Sacramento County</v>
      </c>
      <c r="AM37">
        <f t="shared" si="6"/>
        <v>699</v>
      </c>
      <c r="AO37" t="str">
        <f t="shared" si="7"/>
        <v>California</v>
      </c>
      <c r="AP37" t="str">
        <f t="shared" si="8"/>
        <v>Sacramento County</v>
      </c>
      <c r="AQ37">
        <f t="shared" si="9"/>
        <v>37784.900000000016</v>
      </c>
    </row>
    <row r="38" spans="19:43" x14ac:dyDescent="0.3">
      <c r="S38" s="5">
        <v>35</v>
      </c>
      <c r="T38" s="6">
        <v>2</v>
      </c>
      <c r="AF38" s="5" t="s">
        <v>19</v>
      </c>
      <c r="AG38" s="5" t="s">
        <v>342</v>
      </c>
      <c r="AH38" s="6">
        <v>23</v>
      </c>
      <c r="AI38" s="6">
        <v>1129.7</v>
      </c>
      <c r="AK38" t="str">
        <f t="shared" si="4"/>
        <v>California</v>
      </c>
      <c r="AL38" t="str">
        <f t="shared" si="5"/>
        <v>San Benito County</v>
      </c>
      <c r="AM38">
        <f t="shared" si="6"/>
        <v>23</v>
      </c>
      <c r="AO38" t="str">
        <f t="shared" si="7"/>
        <v>California</v>
      </c>
      <c r="AP38" t="str">
        <f t="shared" si="8"/>
        <v>San Benito County</v>
      </c>
      <c r="AQ38">
        <f t="shared" si="9"/>
        <v>1129.7</v>
      </c>
    </row>
    <row r="39" spans="19:43" x14ac:dyDescent="0.3">
      <c r="S39" s="5">
        <v>36</v>
      </c>
      <c r="T39" s="6">
        <v>2</v>
      </c>
      <c r="AF39" s="5" t="s">
        <v>19</v>
      </c>
      <c r="AG39" s="5" t="s">
        <v>59</v>
      </c>
      <c r="AH39" s="6">
        <v>356</v>
      </c>
      <c r="AI39" s="6">
        <v>20988.9</v>
      </c>
      <c r="AK39" t="str">
        <f t="shared" si="4"/>
        <v>California</v>
      </c>
      <c r="AL39" t="str">
        <f t="shared" si="5"/>
        <v>San Bernardino County</v>
      </c>
      <c r="AM39">
        <f t="shared" si="6"/>
        <v>356</v>
      </c>
      <c r="AO39" t="str">
        <f t="shared" si="7"/>
        <v>California</v>
      </c>
      <c r="AP39" t="str">
        <f t="shared" si="8"/>
        <v>San Bernardino County</v>
      </c>
      <c r="AQ39">
        <f t="shared" si="9"/>
        <v>20988.9</v>
      </c>
    </row>
    <row r="40" spans="19:43" x14ac:dyDescent="0.3">
      <c r="S40" s="5">
        <v>38</v>
      </c>
      <c r="T40" s="6">
        <v>1</v>
      </c>
      <c r="AF40" s="5" t="s">
        <v>19</v>
      </c>
      <c r="AG40" s="5" t="s">
        <v>62</v>
      </c>
      <c r="AH40" s="6">
        <v>1768</v>
      </c>
      <c r="AI40" s="6">
        <v>98367.099999999977</v>
      </c>
      <c r="AK40" t="str">
        <f t="shared" si="4"/>
        <v>California</v>
      </c>
      <c r="AL40" t="str">
        <f t="shared" si="5"/>
        <v>San Diego County</v>
      </c>
      <c r="AM40">
        <f t="shared" si="6"/>
        <v>1768</v>
      </c>
      <c r="AO40" t="str">
        <f t="shared" si="7"/>
        <v>California</v>
      </c>
      <c r="AP40" t="str">
        <f t="shared" si="8"/>
        <v>San Diego County</v>
      </c>
      <c r="AQ40">
        <f t="shared" si="9"/>
        <v>98367.099999999977</v>
      </c>
    </row>
    <row r="41" spans="19:43" x14ac:dyDescent="0.3">
      <c r="S41" s="5">
        <v>40</v>
      </c>
      <c r="T41" s="6">
        <v>1</v>
      </c>
      <c r="AF41" s="5" t="s">
        <v>19</v>
      </c>
      <c r="AG41" s="5" t="s">
        <v>103</v>
      </c>
      <c r="AH41" s="6">
        <v>307</v>
      </c>
      <c r="AI41" s="6">
        <v>21911.9</v>
      </c>
      <c r="AK41" t="str">
        <f t="shared" si="4"/>
        <v>California</v>
      </c>
      <c r="AL41" t="str">
        <f t="shared" si="5"/>
        <v>San Francisco</v>
      </c>
      <c r="AM41">
        <f t="shared" si="6"/>
        <v>307</v>
      </c>
      <c r="AO41" t="str">
        <f t="shared" si="7"/>
        <v>California</v>
      </c>
      <c r="AP41" t="str">
        <f t="shared" si="8"/>
        <v>San Francisco</v>
      </c>
      <c r="AQ41">
        <f t="shared" si="9"/>
        <v>21911.9</v>
      </c>
    </row>
    <row r="42" spans="19:43" x14ac:dyDescent="0.3">
      <c r="S42" s="5">
        <v>41</v>
      </c>
      <c r="T42" s="6">
        <v>1</v>
      </c>
      <c r="AF42" s="5" t="s">
        <v>19</v>
      </c>
      <c r="AG42" s="5" t="s">
        <v>201</v>
      </c>
      <c r="AH42" s="6">
        <v>117</v>
      </c>
      <c r="AI42" s="6">
        <v>5441.2</v>
      </c>
      <c r="AK42" t="str">
        <f t="shared" si="4"/>
        <v>California</v>
      </c>
      <c r="AL42" t="str">
        <f t="shared" si="5"/>
        <v>San Joaquin County</v>
      </c>
      <c r="AM42">
        <f t="shared" si="6"/>
        <v>117</v>
      </c>
      <c r="AO42" t="str">
        <f t="shared" si="7"/>
        <v>California</v>
      </c>
      <c r="AP42" t="str">
        <f t="shared" si="8"/>
        <v>San Joaquin County</v>
      </c>
      <c r="AQ42">
        <f t="shared" si="9"/>
        <v>5441.2</v>
      </c>
    </row>
    <row r="43" spans="19:43" x14ac:dyDescent="0.3">
      <c r="S43" s="5">
        <v>42</v>
      </c>
      <c r="T43" s="6">
        <v>1</v>
      </c>
      <c r="AF43" s="5" t="s">
        <v>19</v>
      </c>
      <c r="AG43" s="5" t="s">
        <v>429</v>
      </c>
      <c r="AH43" s="6">
        <v>13</v>
      </c>
      <c r="AI43" s="6">
        <v>392.8</v>
      </c>
      <c r="AK43" t="str">
        <f t="shared" si="4"/>
        <v>California</v>
      </c>
      <c r="AL43" t="str">
        <f t="shared" si="5"/>
        <v>San Luis Obispo County</v>
      </c>
      <c r="AM43">
        <f t="shared" si="6"/>
        <v>13</v>
      </c>
      <c r="AO43" t="str">
        <f t="shared" si="7"/>
        <v>California</v>
      </c>
      <c r="AP43" t="str">
        <f t="shared" si="8"/>
        <v>San Luis Obispo County</v>
      </c>
      <c r="AQ43">
        <f t="shared" si="9"/>
        <v>392.8</v>
      </c>
    </row>
    <row r="44" spans="19:43" x14ac:dyDescent="0.3">
      <c r="S44" s="5">
        <v>43</v>
      </c>
      <c r="T44" s="6">
        <v>1</v>
      </c>
      <c r="AF44" s="5" t="s">
        <v>19</v>
      </c>
      <c r="AG44" s="5" t="s">
        <v>72</v>
      </c>
      <c r="AH44" s="6">
        <v>364</v>
      </c>
      <c r="AI44" s="6">
        <v>16172.000000000005</v>
      </c>
      <c r="AK44" t="str">
        <f t="shared" si="4"/>
        <v>California</v>
      </c>
      <c r="AL44" t="str">
        <f t="shared" si="5"/>
        <v>San Mateo County</v>
      </c>
      <c r="AM44">
        <f t="shared" si="6"/>
        <v>364</v>
      </c>
      <c r="AO44" t="str">
        <f t="shared" si="7"/>
        <v>California</v>
      </c>
      <c r="AP44" t="str">
        <f t="shared" si="8"/>
        <v>San Mateo County</v>
      </c>
      <c r="AQ44">
        <f t="shared" si="9"/>
        <v>16172.000000000005</v>
      </c>
    </row>
    <row r="45" spans="19:43" x14ac:dyDescent="0.3">
      <c r="S45" s="5">
        <v>45</v>
      </c>
      <c r="T45" s="6">
        <v>1</v>
      </c>
      <c r="AF45" s="5" t="s">
        <v>19</v>
      </c>
      <c r="AG45" s="5" t="s">
        <v>74</v>
      </c>
      <c r="AH45" s="6">
        <v>95</v>
      </c>
      <c r="AI45" s="6">
        <v>4334.9999999999991</v>
      </c>
      <c r="AK45" t="str">
        <f t="shared" si="4"/>
        <v>California</v>
      </c>
      <c r="AL45" t="str">
        <f t="shared" si="5"/>
        <v>Santa Barbara County</v>
      </c>
      <c r="AM45">
        <f t="shared" si="6"/>
        <v>95</v>
      </c>
      <c r="AO45" t="str">
        <f t="shared" si="7"/>
        <v>California</v>
      </c>
      <c r="AP45" t="str">
        <f t="shared" si="8"/>
        <v>Santa Barbara County</v>
      </c>
      <c r="AQ45">
        <f t="shared" si="9"/>
        <v>4334.9999999999991</v>
      </c>
    </row>
    <row r="46" spans="19:43" x14ac:dyDescent="0.3">
      <c r="S46" s="5">
        <v>47</v>
      </c>
      <c r="T46" s="6">
        <v>1</v>
      </c>
      <c r="AF46" s="5" t="s">
        <v>19</v>
      </c>
      <c r="AG46" s="5" t="s">
        <v>77</v>
      </c>
      <c r="AH46" s="6">
        <v>737</v>
      </c>
      <c r="AI46" s="6">
        <v>37449.000000000007</v>
      </c>
      <c r="AK46" t="str">
        <f t="shared" si="4"/>
        <v>California</v>
      </c>
      <c r="AL46" t="str">
        <f t="shared" si="5"/>
        <v>Santa Clara County</v>
      </c>
      <c r="AM46">
        <f t="shared" si="6"/>
        <v>737</v>
      </c>
      <c r="AO46" t="str">
        <f t="shared" si="7"/>
        <v>California</v>
      </c>
      <c r="AP46" t="str">
        <f t="shared" si="8"/>
        <v>Santa Clara County</v>
      </c>
      <c r="AQ46">
        <f t="shared" si="9"/>
        <v>37449.000000000007</v>
      </c>
    </row>
    <row r="47" spans="19:43" x14ac:dyDescent="0.3">
      <c r="S47" s="5">
        <v>49</v>
      </c>
      <c r="T47" s="6">
        <v>1</v>
      </c>
      <c r="AF47" s="5" t="s">
        <v>19</v>
      </c>
      <c r="AG47" s="5" t="s">
        <v>309</v>
      </c>
      <c r="AH47" s="6">
        <v>39</v>
      </c>
      <c r="AI47" s="6">
        <v>2447.5</v>
      </c>
      <c r="AK47" t="str">
        <f t="shared" si="4"/>
        <v>California</v>
      </c>
      <c r="AL47" t="str">
        <f t="shared" si="5"/>
        <v>Santa Cruz County</v>
      </c>
      <c r="AM47">
        <f t="shared" si="6"/>
        <v>39</v>
      </c>
      <c r="AO47" t="str">
        <f t="shared" si="7"/>
        <v>California</v>
      </c>
      <c r="AP47" t="str">
        <f t="shared" si="8"/>
        <v>Santa Cruz County</v>
      </c>
      <c r="AQ47">
        <f t="shared" si="9"/>
        <v>2447.5</v>
      </c>
    </row>
    <row r="48" spans="19:43" x14ac:dyDescent="0.3">
      <c r="S48" s="5">
        <v>62</v>
      </c>
      <c r="T48" s="6">
        <v>1</v>
      </c>
      <c r="AF48" s="5" t="s">
        <v>19</v>
      </c>
      <c r="AG48" s="5" t="s">
        <v>1116</v>
      </c>
      <c r="AH48" s="6">
        <v>56</v>
      </c>
      <c r="AI48" s="6">
        <v>3391.1</v>
      </c>
      <c r="AK48" t="str">
        <f t="shared" si="4"/>
        <v>California</v>
      </c>
      <c r="AL48" t="str">
        <f t="shared" si="5"/>
        <v>Shasta County</v>
      </c>
      <c r="AM48">
        <f t="shared" si="6"/>
        <v>56</v>
      </c>
      <c r="AO48" t="str">
        <f t="shared" si="7"/>
        <v>California</v>
      </c>
      <c r="AP48" t="str">
        <f t="shared" si="8"/>
        <v>Shasta County</v>
      </c>
      <c r="AQ48">
        <f t="shared" si="9"/>
        <v>3391.1</v>
      </c>
    </row>
    <row r="49" spans="19:43" x14ac:dyDescent="0.3">
      <c r="S49" s="5">
        <v>63</v>
      </c>
      <c r="T49" s="6">
        <v>1</v>
      </c>
      <c r="AF49" s="5" t="s">
        <v>19</v>
      </c>
      <c r="AG49" s="5" t="s">
        <v>700</v>
      </c>
      <c r="AH49" s="6">
        <v>2</v>
      </c>
      <c r="AI49" s="6">
        <v>30.8</v>
      </c>
      <c r="AK49" t="str">
        <f t="shared" si="4"/>
        <v>California</v>
      </c>
      <c r="AL49" t="str">
        <f t="shared" si="5"/>
        <v>Sierra County</v>
      </c>
      <c r="AM49">
        <f t="shared" si="6"/>
        <v>2</v>
      </c>
      <c r="AO49" t="str">
        <f t="shared" si="7"/>
        <v>California</v>
      </c>
      <c r="AP49" t="str">
        <f t="shared" si="8"/>
        <v>Sierra County</v>
      </c>
      <c r="AQ49">
        <f t="shared" si="9"/>
        <v>30.8</v>
      </c>
    </row>
    <row r="50" spans="19:43" x14ac:dyDescent="0.3">
      <c r="S50" s="5">
        <v>70</v>
      </c>
      <c r="T50" s="6">
        <v>1</v>
      </c>
      <c r="AF50" s="5" t="s">
        <v>19</v>
      </c>
      <c r="AG50" s="5" t="s">
        <v>268</v>
      </c>
      <c r="AH50" s="6">
        <v>8</v>
      </c>
      <c r="AI50" s="6">
        <v>332.3</v>
      </c>
      <c r="AK50" t="str">
        <f t="shared" si="4"/>
        <v>California</v>
      </c>
      <c r="AL50" t="str">
        <f t="shared" si="5"/>
        <v>Siskiyou County</v>
      </c>
      <c r="AM50">
        <f t="shared" si="6"/>
        <v>8</v>
      </c>
      <c r="AO50" t="str">
        <f t="shared" si="7"/>
        <v>California</v>
      </c>
      <c r="AP50" t="str">
        <f t="shared" si="8"/>
        <v>Siskiyou County</v>
      </c>
      <c r="AQ50">
        <f t="shared" si="9"/>
        <v>332.3</v>
      </c>
    </row>
    <row r="51" spans="19:43" x14ac:dyDescent="0.3">
      <c r="S51" s="5">
        <v>87</v>
      </c>
      <c r="T51" s="6">
        <v>1</v>
      </c>
      <c r="AF51" s="5" t="s">
        <v>19</v>
      </c>
      <c r="AG51" s="5" t="s">
        <v>377</v>
      </c>
      <c r="AH51" s="6">
        <v>52</v>
      </c>
      <c r="AI51" s="6">
        <v>3175.9999999999995</v>
      </c>
      <c r="AK51" t="str">
        <f t="shared" si="4"/>
        <v>California</v>
      </c>
      <c r="AL51" t="str">
        <f t="shared" si="5"/>
        <v>Solano County</v>
      </c>
      <c r="AM51">
        <f t="shared" si="6"/>
        <v>52</v>
      </c>
      <c r="AO51" t="str">
        <f t="shared" si="7"/>
        <v>California</v>
      </c>
      <c r="AP51" t="str">
        <f t="shared" si="8"/>
        <v>Solano County</v>
      </c>
      <c r="AQ51">
        <f t="shared" si="9"/>
        <v>3175.9999999999995</v>
      </c>
    </row>
    <row r="52" spans="19:43" x14ac:dyDescent="0.3">
      <c r="AF52" s="5" t="s">
        <v>19</v>
      </c>
      <c r="AG52" s="5" t="s">
        <v>108</v>
      </c>
      <c r="AH52" s="6">
        <v>295</v>
      </c>
      <c r="AI52" s="6">
        <v>20939.600000000002</v>
      </c>
      <c r="AK52" t="str">
        <f t="shared" si="4"/>
        <v>California</v>
      </c>
      <c r="AL52" t="str">
        <f t="shared" si="5"/>
        <v>Sonoma County</v>
      </c>
      <c r="AM52">
        <f t="shared" si="6"/>
        <v>295</v>
      </c>
      <c r="AO52" t="str">
        <f t="shared" si="7"/>
        <v>California</v>
      </c>
      <c r="AP52" t="str">
        <f t="shared" si="8"/>
        <v>Sonoma County</v>
      </c>
      <c r="AQ52">
        <f t="shared" si="9"/>
        <v>20939.600000000002</v>
      </c>
    </row>
    <row r="53" spans="19:43" x14ac:dyDescent="0.3">
      <c r="AF53" s="5" t="s">
        <v>19</v>
      </c>
      <c r="AG53" s="5" t="s">
        <v>110</v>
      </c>
      <c r="AH53" s="6">
        <v>195</v>
      </c>
      <c r="AI53" s="6">
        <v>10185.899999999996</v>
      </c>
      <c r="AK53" t="str">
        <f t="shared" si="4"/>
        <v>California</v>
      </c>
      <c r="AL53" t="str">
        <f t="shared" si="5"/>
        <v>Stanislaus County</v>
      </c>
      <c r="AM53">
        <f t="shared" si="6"/>
        <v>195</v>
      </c>
      <c r="AO53" t="str">
        <f t="shared" si="7"/>
        <v>California</v>
      </c>
      <c r="AP53" t="str">
        <f t="shared" si="8"/>
        <v>Stanislaus County</v>
      </c>
      <c r="AQ53">
        <f t="shared" si="9"/>
        <v>10185.899999999996</v>
      </c>
    </row>
    <row r="54" spans="19:43" x14ac:dyDescent="0.3">
      <c r="AF54" s="5" t="s">
        <v>19</v>
      </c>
      <c r="AG54" s="5" t="s">
        <v>292</v>
      </c>
      <c r="AH54" s="6">
        <v>20</v>
      </c>
      <c r="AI54" s="6">
        <v>958.7</v>
      </c>
      <c r="AK54" t="str">
        <f t="shared" si="4"/>
        <v>California</v>
      </c>
      <c r="AL54" t="str">
        <f t="shared" si="5"/>
        <v>Sutter County</v>
      </c>
      <c r="AM54">
        <f t="shared" si="6"/>
        <v>20</v>
      </c>
      <c r="AO54" t="str">
        <f t="shared" si="7"/>
        <v>California</v>
      </c>
      <c r="AP54" t="str">
        <f t="shared" si="8"/>
        <v>Sutter County</v>
      </c>
      <c r="AQ54">
        <f t="shared" si="9"/>
        <v>958.7</v>
      </c>
    </row>
    <row r="55" spans="19:43" x14ac:dyDescent="0.3">
      <c r="AF55" s="5" t="s">
        <v>19</v>
      </c>
      <c r="AG55" s="5" t="s">
        <v>79</v>
      </c>
      <c r="AH55" s="6">
        <v>6</v>
      </c>
      <c r="AI55" s="6">
        <v>323</v>
      </c>
      <c r="AK55" t="str">
        <f t="shared" si="4"/>
        <v>California</v>
      </c>
      <c r="AL55" t="str">
        <f t="shared" si="5"/>
        <v>Tehama County</v>
      </c>
      <c r="AM55">
        <f t="shared" si="6"/>
        <v>6</v>
      </c>
      <c r="AO55" t="str">
        <f t="shared" si="7"/>
        <v>California</v>
      </c>
      <c r="AP55" t="str">
        <f t="shared" si="8"/>
        <v>Tehama County</v>
      </c>
      <c r="AQ55">
        <f t="shared" si="9"/>
        <v>323</v>
      </c>
    </row>
    <row r="56" spans="19:43" x14ac:dyDescent="0.3">
      <c r="AF56" s="5" t="s">
        <v>19</v>
      </c>
      <c r="AG56" s="5" t="s">
        <v>608</v>
      </c>
      <c r="AH56" s="6">
        <v>5</v>
      </c>
      <c r="AI56" s="6">
        <v>167.70000000000002</v>
      </c>
      <c r="AK56" t="str">
        <f t="shared" si="4"/>
        <v>California</v>
      </c>
      <c r="AL56" t="str">
        <f t="shared" si="5"/>
        <v>Trinity County</v>
      </c>
      <c r="AM56">
        <f t="shared" si="6"/>
        <v>5</v>
      </c>
      <c r="AO56" t="str">
        <f t="shared" si="7"/>
        <v>California</v>
      </c>
      <c r="AP56" t="str">
        <f t="shared" si="8"/>
        <v>Trinity County</v>
      </c>
      <c r="AQ56">
        <f t="shared" si="9"/>
        <v>167.70000000000002</v>
      </c>
    </row>
    <row r="57" spans="19:43" x14ac:dyDescent="0.3">
      <c r="AF57" s="5" t="s">
        <v>19</v>
      </c>
      <c r="AG57" s="5" t="s">
        <v>113</v>
      </c>
      <c r="AH57" s="6">
        <v>94</v>
      </c>
      <c r="AI57" s="6">
        <v>3978.5</v>
      </c>
      <c r="AK57" t="str">
        <f t="shared" si="4"/>
        <v>California</v>
      </c>
      <c r="AL57" t="str">
        <f t="shared" si="5"/>
        <v>Tulare County</v>
      </c>
      <c r="AM57">
        <f t="shared" si="6"/>
        <v>94</v>
      </c>
      <c r="AO57" t="str">
        <f t="shared" si="7"/>
        <v>California</v>
      </c>
      <c r="AP57" t="str">
        <f t="shared" si="8"/>
        <v>Tulare County</v>
      </c>
      <c r="AQ57">
        <f t="shared" si="9"/>
        <v>3978.5</v>
      </c>
    </row>
    <row r="58" spans="19:43" x14ac:dyDescent="0.3">
      <c r="AF58" s="5" t="s">
        <v>19</v>
      </c>
      <c r="AG58" s="5" t="s">
        <v>997</v>
      </c>
      <c r="AH58" s="6">
        <v>28</v>
      </c>
      <c r="AI58" s="6">
        <v>1405</v>
      </c>
      <c r="AK58" t="str">
        <f t="shared" si="4"/>
        <v>California</v>
      </c>
      <c r="AL58" t="str">
        <f t="shared" si="5"/>
        <v>Tuolumne County</v>
      </c>
      <c r="AM58">
        <f t="shared" si="6"/>
        <v>28</v>
      </c>
      <c r="AO58" t="str">
        <f t="shared" si="7"/>
        <v>California</v>
      </c>
      <c r="AP58" t="str">
        <f t="shared" si="8"/>
        <v>Tuolumne County</v>
      </c>
      <c r="AQ58">
        <f t="shared" si="9"/>
        <v>1405</v>
      </c>
    </row>
    <row r="59" spans="19:43" x14ac:dyDescent="0.3">
      <c r="AF59" s="5" t="s">
        <v>19</v>
      </c>
      <c r="AG59" s="5" t="s">
        <v>82</v>
      </c>
      <c r="AH59" s="6">
        <v>179</v>
      </c>
      <c r="AI59" s="6">
        <v>9869.0999999999985</v>
      </c>
      <c r="AK59" t="str">
        <f t="shared" si="4"/>
        <v>California</v>
      </c>
      <c r="AL59" t="str">
        <f t="shared" si="5"/>
        <v>Ventura County</v>
      </c>
      <c r="AM59">
        <f t="shared" si="6"/>
        <v>179</v>
      </c>
      <c r="AO59" t="str">
        <f t="shared" si="7"/>
        <v>California</v>
      </c>
      <c r="AP59" t="str">
        <f t="shared" si="8"/>
        <v>Ventura County</v>
      </c>
      <c r="AQ59">
        <f t="shared" si="9"/>
        <v>9869.0999999999985</v>
      </c>
    </row>
    <row r="60" spans="19:43" x14ac:dyDescent="0.3">
      <c r="AF60" s="5" t="s">
        <v>19</v>
      </c>
      <c r="AG60" s="5" t="s">
        <v>243</v>
      </c>
      <c r="AH60" s="6">
        <v>15</v>
      </c>
      <c r="AI60" s="6">
        <v>615.29999999999995</v>
      </c>
      <c r="AK60" t="str">
        <f t="shared" si="4"/>
        <v>California</v>
      </c>
      <c r="AL60" t="str">
        <f t="shared" si="5"/>
        <v>Yolo County</v>
      </c>
      <c r="AM60">
        <f t="shared" si="6"/>
        <v>15</v>
      </c>
      <c r="AO60" t="str">
        <f t="shared" si="7"/>
        <v>California</v>
      </c>
      <c r="AP60" t="str">
        <f t="shared" si="8"/>
        <v>Yolo County</v>
      </c>
      <c r="AQ60">
        <f t="shared" si="9"/>
        <v>615.29999999999995</v>
      </c>
    </row>
    <row r="61" spans="19:43" x14ac:dyDescent="0.3">
      <c r="AF61" s="5" t="s">
        <v>19</v>
      </c>
      <c r="AG61" s="5" t="s">
        <v>1911</v>
      </c>
      <c r="AH61" s="6">
        <v>3</v>
      </c>
      <c r="AI61" s="6">
        <v>285</v>
      </c>
      <c r="AK61" t="str">
        <f t="shared" si="4"/>
        <v>California</v>
      </c>
      <c r="AL61" t="str">
        <f t="shared" si="5"/>
        <v>Yuba County</v>
      </c>
      <c r="AM61">
        <f t="shared" si="6"/>
        <v>3</v>
      </c>
      <c r="AO61" t="str">
        <f t="shared" si="7"/>
        <v>California</v>
      </c>
      <c r="AP61" t="str">
        <f t="shared" si="8"/>
        <v>Yuba County</v>
      </c>
      <c r="AQ61">
        <f t="shared" si="9"/>
        <v>285</v>
      </c>
    </row>
    <row r="62" spans="19:43" x14ac:dyDescent="0.3">
      <c r="AF62" s="5" t="s">
        <v>2529</v>
      </c>
      <c r="AG62" s="5"/>
      <c r="AH62" s="6">
        <v>11997</v>
      </c>
      <c r="AI62" s="6">
        <v>649019.80000000144</v>
      </c>
      <c r="AK62" t="str">
        <f t="shared" si="4"/>
        <v>California Total</v>
      </c>
      <c r="AL62" t="str">
        <f t="shared" si="5"/>
        <v/>
      </c>
      <c r="AM62">
        <f t="shared" si="6"/>
        <v>11997</v>
      </c>
      <c r="AO62" t="str">
        <f t="shared" si="7"/>
        <v>California Total</v>
      </c>
      <c r="AP62" t="str">
        <f t="shared" si="8"/>
        <v/>
      </c>
      <c r="AQ62">
        <f t="shared" si="9"/>
        <v>649019.80000000144</v>
      </c>
    </row>
  </sheetData>
  <conditionalFormatting sqref="L10:M14">
    <cfRule type="colorScale" priority="3">
      <colorScale>
        <cfvo type="min"/>
        <cfvo type="percentile" val="50"/>
        <cfvo type="max"/>
        <color rgb="FFF8696B"/>
        <color rgb="FFFCFCFF"/>
        <color rgb="FF5A8AC6"/>
      </colorScale>
    </cfRule>
  </conditionalFormatting>
  <conditionalFormatting sqref="K9:O14">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Z47"/>
  <sheetViews>
    <sheetView tabSelected="1" zoomScale="60" zoomScaleNormal="60" workbookViewId="0">
      <selection activeCell="A2" sqref="A2"/>
    </sheetView>
  </sheetViews>
  <sheetFormatPr defaultColWidth="0" defaultRowHeight="14.4" zeroHeight="1" x14ac:dyDescent="0.3"/>
  <cols>
    <col min="1" max="1" width="3.33203125" style="19" customWidth="1"/>
    <col min="2" max="2" width="24.6640625" style="19" customWidth="1"/>
    <col min="3" max="4" width="3.6640625" style="19" customWidth="1"/>
    <col min="5" max="25" width="9.77734375" style="19" customWidth="1"/>
    <col min="26" max="26" width="3.6640625" style="19" customWidth="1"/>
    <col min="27" max="16384" width="9.77734375" style="19"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hidden="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Sethuraman B</cp:lastModifiedBy>
  <dcterms:created xsi:type="dcterms:W3CDTF">2025-06-13T02:42:26Z</dcterms:created>
  <dcterms:modified xsi:type="dcterms:W3CDTF">2026-04-22T03:51:40Z</dcterms:modified>
</cp:coreProperties>
</file>