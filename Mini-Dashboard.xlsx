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ethu\Downloads\"/>
    </mc:Choice>
  </mc:AlternateContent>
  <xr:revisionPtr revIDLastSave="0" documentId="13_ncr:40009_{7AEB45AF-120C-4CF3-8F20-94C9219B2CAE}" xr6:coauthVersionLast="36" xr6:coauthVersionMax="36" xr10:uidLastSave="{00000000-0000-0000-0000-000000000000}"/>
  <bookViews>
    <workbookView xWindow="0" yWindow="0" windowWidth="23040" windowHeight="8124"/>
  </bookViews>
  <sheets>
    <sheet name="Data" sheetId="8" r:id="rId1"/>
    <sheet name="Links" sheetId="9" r:id="rId2"/>
    <sheet name="Dashboard" sheetId="10" r:id="rId3"/>
    <sheet name="Sheet2" sheetId="3" state="hidden" r:id="rId4"/>
  </sheets>
  <definedNames>
    <definedName name="_xlnm._FilterDatabase" localSheetId="0" hidden="1">Data!$A$1:$E$1</definedName>
  </definedNames>
  <calcPr calcId="191029"/>
</workbook>
</file>

<file path=xl/calcChain.xml><?xml version="1.0" encoding="utf-8"?>
<calcChain xmlns="http://schemas.openxmlformats.org/spreadsheetml/2006/main">
  <c r="H3" i="8" l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2" i="8"/>
  <c r="G2" i="9"/>
  <c r="F2" i="9"/>
  <c r="E2" i="9"/>
  <c r="G5" i="8" s="1"/>
  <c r="G68" i="8" l="1"/>
  <c r="G60" i="8"/>
  <c r="G52" i="8"/>
  <c r="G44" i="8"/>
  <c r="G36" i="8"/>
  <c r="G28" i="8"/>
  <c r="G20" i="8"/>
  <c r="J20" i="8" s="1"/>
  <c r="K20" i="8" s="1"/>
  <c r="G12" i="8"/>
  <c r="J12" i="8" s="1"/>
  <c r="K12" i="8" s="1"/>
  <c r="G8" i="8"/>
  <c r="G87" i="8"/>
  <c r="G75" i="8"/>
  <c r="G63" i="8"/>
  <c r="G51" i="8"/>
  <c r="G39" i="8"/>
  <c r="G27" i="8"/>
  <c r="J27" i="8" s="1"/>
  <c r="K27" i="8" s="1"/>
  <c r="G19" i="8"/>
  <c r="J19" i="8" s="1"/>
  <c r="K19" i="8" s="1"/>
  <c r="G11" i="8"/>
  <c r="G7" i="8"/>
  <c r="J7" i="8" s="1"/>
  <c r="K7" i="8" s="1"/>
  <c r="G86" i="8"/>
  <c r="G74" i="8"/>
  <c r="G66" i="8"/>
  <c r="G62" i="8"/>
  <c r="G58" i="8"/>
  <c r="J58" i="8" s="1"/>
  <c r="K58" i="8" s="1"/>
  <c r="G54" i="8"/>
  <c r="J54" i="8" s="1"/>
  <c r="K54" i="8" s="1"/>
  <c r="G50" i="8"/>
  <c r="G46" i="8"/>
  <c r="J46" i="8" s="1"/>
  <c r="K46" i="8" s="1"/>
  <c r="G42" i="8"/>
  <c r="G38" i="8"/>
  <c r="G34" i="8"/>
  <c r="G30" i="8"/>
  <c r="J30" i="8" s="1"/>
  <c r="K30" i="8" s="1"/>
  <c r="G26" i="8"/>
  <c r="J26" i="8" s="1"/>
  <c r="K26" i="8" s="1"/>
  <c r="G22" i="8"/>
  <c r="J22" i="8" s="1"/>
  <c r="K22" i="8" s="1"/>
  <c r="G18" i="8"/>
  <c r="G14" i="8"/>
  <c r="J14" i="8" s="1"/>
  <c r="K14" i="8" s="1"/>
  <c r="G10" i="8"/>
  <c r="G6" i="8"/>
  <c r="G96" i="8"/>
  <c r="G88" i="8"/>
  <c r="J88" i="8" s="1"/>
  <c r="K88" i="8" s="1"/>
  <c r="G76" i="8"/>
  <c r="G99" i="8"/>
  <c r="J99" i="8" s="1"/>
  <c r="K99" i="8" s="1"/>
  <c r="G91" i="8"/>
  <c r="G83" i="8"/>
  <c r="J83" i="8" s="1"/>
  <c r="K83" i="8" s="1"/>
  <c r="G71" i="8"/>
  <c r="G2" i="8"/>
  <c r="G67" i="8"/>
  <c r="J67" i="8" s="1"/>
  <c r="K67" i="8" s="1"/>
  <c r="G55" i="8"/>
  <c r="J55" i="8" s="1"/>
  <c r="K55" i="8" s="1"/>
  <c r="G43" i="8"/>
  <c r="G35" i="8"/>
  <c r="J35" i="8" s="1"/>
  <c r="K35" i="8" s="1"/>
  <c r="G23" i="8"/>
  <c r="G3" i="8"/>
  <c r="J3" i="8" s="1"/>
  <c r="K3" i="8" s="1"/>
  <c r="G98" i="8"/>
  <c r="G90" i="8"/>
  <c r="G82" i="8"/>
  <c r="G70" i="8"/>
  <c r="J70" i="8" s="1"/>
  <c r="K70" i="8" s="1"/>
  <c r="G101" i="8"/>
  <c r="G97" i="8"/>
  <c r="J97" i="8" s="1"/>
  <c r="K97" i="8" s="1"/>
  <c r="G93" i="8"/>
  <c r="J93" i="8" s="1"/>
  <c r="K93" i="8" s="1"/>
  <c r="G89" i="8"/>
  <c r="G85" i="8"/>
  <c r="G81" i="8"/>
  <c r="G77" i="8"/>
  <c r="J77" i="8" s="1"/>
  <c r="K77" i="8" s="1"/>
  <c r="G73" i="8"/>
  <c r="G100" i="8"/>
  <c r="J100" i="8" s="1"/>
  <c r="K100" i="8" s="1"/>
  <c r="G92" i="8"/>
  <c r="G84" i="8"/>
  <c r="G80" i="8"/>
  <c r="J80" i="8" s="1"/>
  <c r="K80" i="8" s="1"/>
  <c r="G72" i="8"/>
  <c r="G64" i="8"/>
  <c r="G56" i="8"/>
  <c r="J56" i="8" s="1"/>
  <c r="K56" i="8" s="1"/>
  <c r="G48" i="8"/>
  <c r="G40" i="8"/>
  <c r="J40" i="8" s="1"/>
  <c r="K40" i="8" s="1"/>
  <c r="G32" i="8"/>
  <c r="J32" i="8" s="1"/>
  <c r="K32" i="8" s="1"/>
  <c r="G24" i="8"/>
  <c r="G16" i="8"/>
  <c r="G4" i="8"/>
  <c r="G95" i="8"/>
  <c r="G79" i="8"/>
  <c r="G59" i="8"/>
  <c r="G47" i="8"/>
  <c r="J47" i="8" s="1"/>
  <c r="K47" i="8" s="1"/>
  <c r="G31" i="8"/>
  <c r="G15" i="8"/>
  <c r="G94" i="8"/>
  <c r="G78" i="8"/>
  <c r="G69" i="8"/>
  <c r="J69" i="8" s="1"/>
  <c r="K69" i="8" s="1"/>
  <c r="G65" i="8"/>
  <c r="G61" i="8"/>
  <c r="G57" i="8"/>
  <c r="J57" i="8" s="1"/>
  <c r="K57" i="8" s="1"/>
  <c r="G53" i="8"/>
  <c r="J53" i="8" s="1"/>
  <c r="K53" i="8" s="1"/>
  <c r="G49" i="8"/>
  <c r="G45" i="8"/>
  <c r="G41" i="8"/>
  <c r="G37" i="8"/>
  <c r="G33" i="8"/>
  <c r="J33" i="8" s="1"/>
  <c r="K33" i="8" s="1"/>
  <c r="G29" i="8"/>
  <c r="J29" i="8" s="1"/>
  <c r="K29" i="8" s="1"/>
  <c r="G25" i="8"/>
  <c r="J25" i="8" s="1"/>
  <c r="K25" i="8" s="1"/>
  <c r="G21" i="8"/>
  <c r="G17" i="8"/>
  <c r="G13" i="8"/>
  <c r="J13" i="8" s="1"/>
  <c r="K13" i="8" s="1"/>
  <c r="G9" i="8"/>
  <c r="J9" i="8"/>
  <c r="K9" i="8" s="1"/>
  <c r="J24" i="8"/>
  <c r="K24" i="8" s="1"/>
  <c r="J72" i="8"/>
  <c r="K72" i="8" s="1"/>
  <c r="J34" i="8"/>
  <c r="K34" i="8" s="1"/>
  <c r="J92" i="8"/>
  <c r="K92" i="8" s="1"/>
  <c r="J75" i="8"/>
  <c r="K75" i="8" s="1"/>
  <c r="J37" i="8"/>
  <c r="K37" i="8" s="1"/>
  <c r="J78" i="8"/>
  <c r="K78" i="8" s="1"/>
  <c r="J60" i="8"/>
  <c r="K60" i="8" s="1"/>
  <c r="J98" i="8"/>
  <c r="K98" i="8" s="1"/>
  <c r="J91" i="8"/>
  <c r="K91" i="8" s="1"/>
  <c r="J11" i="8"/>
  <c r="K11" i="8" s="1"/>
  <c r="J86" i="8"/>
  <c r="K86" i="8" s="1"/>
  <c r="J85" i="8"/>
  <c r="K85" i="8" s="1"/>
  <c r="J43" i="8"/>
  <c r="K43" i="8" s="1"/>
  <c r="J101" i="8"/>
  <c r="K101" i="8" s="1"/>
  <c r="J8" i="8"/>
  <c r="K8" i="8" s="1"/>
  <c r="J66" i="8"/>
  <c r="K66" i="8" s="1"/>
  <c r="J59" i="8"/>
  <c r="K59" i="8" s="1"/>
  <c r="J21" i="8"/>
  <c r="K21" i="8" s="1"/>
  <c r="J64" i="8"/>
  <c r="K64" i="8" s="1"/>
  <c r="J52" i="8"/>
  <c r="K52" i="8" s="1"/>
  <c r="J61" i="8"/>
  <c r="K61" i="8" s="1"/>
  <c r="J96" i="8"/>
  <c r="K96" i="8" s="1"/>
  <c r="J90" i="8"/>
  <c r="K90" i="8" s="1"/>
  <c r="J84" i="8"/>
  <c r="K84" i="8" s="1"/>
  <c r="J28" i="8"/>
  <c r="K28" i="8" s="1"/>
  <c r="J5" i="8"/>
  <c r="K5" i="8" s="1"/>
  <c r="J51" i="8"/>
  <c r="K51" i="8" s="1"/>
  <c r="J48" i="8"/>
  <c r="K48" i="8" s="1"/>
  <c r="J45" i="8"/>
  <c r="K45" i="8" s="1"/>
  <c r="J16" i="8"/>
  <c r="K16" i="8" s="1"/>
  <c r="J94" i="8"/>
  <c r="K94" i="8" s="1"/>
  <c r="J74" i="8"/>
  <c r="K74" i="8" s="1"/>
  <c r="J68" i="8"/>
  <c r="K68" i="8" s="1"/>
  <c r="J62" i="8"/>
  <c r="K62" i="8" s="1"/>
  <c r="J42" i="8"/>
  <c r="K42" i="8" s="1"/>
  <c r="J36" i="8"/>
  <c r="K36" i="8" s="1"/>
  <c r="J10" i="8"/>
  <c r="K10" i="8" s="1"/>
  <c r="J4" i="8"/>
  <c r="K4" i="8" s="1"/>
  <c r="J2" i="8"/>
  <c r="K2" i="8" s="1"/>
  <c r="J82" i="8"/>
  <c r="K82" i="8" s="1"/>
  <c r="J76" i="8"/>
  <c r="K76" i="8" s="1"/>
  <c r="J50" i="8"/>
  <c r="K50" i="8" s="1"/>
  <c r="J44" i="8"/>
  <c r="K44" i="8" s="1"/>
  <c r="J38" i="8"/>
  <c r="K38" i="8" s="1"/>
  <c r="J18" i="8"/>
  <c r="K18" i="8" s="1"/>
  <c r="J6" i="8"/>
  <c r="K6" i="8" s="1"/>
  <c r="J95" i="8"/>
  <c r="K95" i="8" s="1"/>
  <c r="J87" i="8"/>
  <c r="K87" i="8" s="1"/>
  <c r="J79" i="8"/>
  <c r="K79" i="8" s="1"/>
  <c r="J71" i="8"/>
  <c r="K71" i="8" s="1"/>
  <c r="J63" i="8"/>
  <c r="K63" i="8" s="1"/>
  <c r="J39" i="8"/>
  <c r="K39" i="8" s="1"/>
  <c r="J31" i="8"/>
  <c r="K31" i="8" s="1"/>
  <c r="J23" i="8"/>
  <c r="K23" i="8" s="1"/>
  <c r="J15" i="8"/>
  <c r="K15" i="8" s="1"/>
  <c r="J89" i="8"/>
  <c r="K89" i="8" s="1"/>
  <c r="J81" i="8"/>
  <c r="K81" i="8" s="1"/>
  <c r="J73" i="8"/>
  <c r="K73" i="8" s="1"/>
  <c r="J65" i="8"/>
  <c r="K65" i="8" s="1"/>
  <c r="J49" i="8"/>
  <c r="K49" i="8" s="1"/>
  <c r="J41" i="8"/>
  <c r="K41" i="8" s="1"/>
  <c r="J17" i="8"/>
  <c r="K17" i="8" s="1"/>
  <c r="L15" i="8" l="1"/>
  <c r="F19" i="10" s="1"/>
  <c r="L71" i="8"/>
  <c r="L19" i="8"/>
  <c r="L78" i="8"/>
  <c r="L30" i="8"/>
  <c r="L58" i="8"/>
  <c r="L93" i="8"/>
  <c r="L67" i="8"/>
  <c r="L88" i="8"/>
  <c r="L90" i="8"/>
  <c r="L94" i="8"/>
  <c r="L8" i="8"/>
  <c r="L28" i="8"/>
  <c r="L59" i="8"/>
  <c r="L97" i="8"/>
  <c r="L33" i="8"/>
  <c r="L7" i="8"/>
  <c r="L95" i="8"/>
  <c r="L85" i="8"/>
  <c r="L14" i="8"/>
  <c r="L84" i="8"/>
  <c r="L2" i="8"/>
  <c r="L16" i="8"/>
  <c r="L51" i="8"/>
  <c r="L89" i="8"/>
  <c r="L25" i="8"/>
  <c r="L101" i="8"/>
  <c r="L5" i="8"/>
  <c r="L22" i="8"/>
  <c r="L68" i="8"/>
  <c r="L37" i="8"/>
  <c r="L42" i="8"/>
  <c r="L60" i="8"/>
  <c r="L45" i="8"/>
  <c r="L12" i="8"/>
  <c r="L86" i="8"/>
  <c r="L11" i="8"/>
  <c r="L66" i="8"/>
  <c r="L100" i="8"/>
  <c r="L3" i="8"/>
  <c r="L10" i="8"/>
  <c r="L18" i="8"/>
  <c r="L29" i="8"/>
  <c r="L72" i="8"/>
  <c r="L92" i="8"/>
  <c r="L6" i="8"/>
  <c r="L43" i="8"/>
  <c r="L81" i="8"/>
  <c r="L17" i="8"/>
  <c r="L4" i="8"/>
  <c r="L21" i="8"/>
  <c r="L36" i="8"/>
  <c r="L79" i="8"/>
  <c r="L55" i="8"/>
  <c r="L96" i="8"/>
  <c r="L40" i="8"/>
  <c r="L57" i="8"/>
  <c r="L63" i="8"/>
  <c r="L48" i="8"/>
  <c r="L49" i="8"/>
  <c r="L77" i="8"/>
  <c r="L38" i="8"/>
  <c r="L74" i="8"/>
  <c r="L69" i="8"/>
  <c r="L13" i="8"/>
  <c r="L44" i="8"/>
  <c r="L62" i="8"/>
  <c r="L80" i="8"/>
  <c r="L99" i="8"/>
  <c r="L35" i="8"/>
  <c r="L73" i="8"/>
  <c r="L9" i="8"/>
  <c r="L32" i="8"/>
  <c r="L34" i="8"/>
  <c r="L50" i="8"/>
  <c r="L23" i="8"/>
  <c r="L82" i="8"/>
  <c r="L53" i="8"/>
  <c r="L83" i="8"/>
  <c r="L61" i="8"/>
  <c r="L26" i="8"/>
  <c r="L75" i="8"/>
  <c r="L76" i="8"/>
  <c r="L54" i="8"/>
  <c r="L20" i="8"/>
  <c r="L41" i="8"/>
  <c r="L24" i="8"/>
  <c r="L87" i="8"/>
  <c r="L56" i="8"/>
  <c r="L52" i="8"/>
  <c r="L70" i="8"/>
  <c r="L91" i="8"/>
  <c r="L27" i="8"/>
  <c r="L65" i="8"/>
  <c r="L31" i="8"/>
  <c r="L46" i="8"/>
  <c r="L47" i="8"/>
  <c r="L64" i="8"/>
  <c r="L98" i="8"/>
  <c r="L39" i="8"/>
  <c r="C19" i="10" l="1"/>
  <c r="E19" i="10"/>
  <c r="D19" i="10"/>
  <c r="B19" i="10"/>
  <c r="B95" i="10"/>
  <c r="C95" i="10"/>
  <c r="E95" i="10"/>
  <c r="D95" i="10"/>
  <c r="F95" i="10"/>
  <c r="D53" i="10"/>
  <c r="E53" i="10"/>
  <c r="F53" i="10"/>
  <c r="C53" i="10"/>
  <c r="B53" i="10"/>
  <c r="C9" i="10"/>
  <c r="B9" i="10"/>
  <c r="D9" i="10"/>
  <c r="E9" i="10"/>
  <c r="F9" i="10"/>
  <c r="C74" i="10"/>
  <c r="D74" i="10"/>
  <c r="F74" i="10"/>
  <c r="B74" i="10"/>
  <c r="E74" i="10"/>
  <c r="C66" i="10"/>
  <c r="D66" i="10"/>
  <c r="F66" i="10"/>
  <c r="E66" i="10"/>
  <c r="B66" i="10"/>
  <c r="E16" i="10"/>
  <c r="F16" i="10"/>
  <c r="B16" i="10"/>
  <c r="C16" i="10"/>
  <c r="D16" i="10"/>
  <c r="B23" i="10"/>
  <c r="C23" i="10"/>
  <c r="E23" i="10"/>
  <c r="D23" i="10"/>
  <c r="F23" i="10"/>
  <c r="B38" i="10"/>
  <c r="D38" i="10"/>
  <c r="E38" i="10"/>
  <c r="F38" i="10"/>
  <c r="C38" i="10"/>
  <c r="B22" i="10"/>
  <c r="F22" i="10"/>
  <c r="D22" i="10"/>
  <c r="C22" i="10"/>
  <c r="E22" i="10"/>
  <c r="F99" i="10"/>
  <c r="C99" i="10"/>
  <c r="D99" i="10"/>
  <c r="E99" i="10"/>
  <c r="B99" i="10"/>
  <c r="B60" i="10"/>
  <c r="D60" i="10"/>
  <c r="E60" i="10"/>
  <c r="F60" i="10"/>
  <c r="C60" i="10"/>
  <c r="D61" i="10"/>
  <c r="E61" i="10"/>
  <c r="C61" i="10"/>
  <c r="F61" i="10"/>
  <c r="B61" i="10"/>
  <c r="B14" i="10"/>
  <c r="D14" i="10"/>
  <c r="E14" i="10"/>
  <c r="F14" i="10"/>
  <c r="C14" i="10"/>
  <c r="B92" i="10"/>
  <c r="D92" i="10"/>
  <c r="C92" i="10"/>
  <c r="E92" i="10"/>
  <c r="F92" i="10"/>
  <c r="C50" i="10"/>
  <c r="D50" i="10"/>
  <c r="F50" i="10"/>
  <c r="B50" i="10"/>
  <c r="E50" i="10"/>
  <c r="F91" i="10"/>
  <c r="C91" i="10"/>
  <c r="D91" i="10"/>
  <c r="E91" i="10"/>
  <c r="B91" i="10"/>
  <c r="C65" i="10"/>
  <c r="B65" i="10"/>
  <c r="E65" i="10"/>
  <c r="F65" i="10"/>
  <c r="D65" i="10"/>
  <c r="D13" i="10"/>
  <c r="E13" i="10"/>
  <c r="B13" i="10"/>
  <c r="C13" i="10"/>
  <c r="F13" i="10"/>
  <c r="C73" i="10"/>
  <c r="B73" i="10"/>
  <c r="D73" i="10"/>
  <c r="E73" i="10"/>
  <c r="F73" i="10"/>
  <c r="B44" i="10"/>
  <c r="D44" i="10"/>
  <c r="C44" i="10"/>
  <c r="E44" i="10"/>
  <c r="F44" i="10"/>
  <c r="D85" i="10"/>
  <c r="E85" i="10"/>
  <c r="B85" i="10"/>
  <c r="C85" i="10"/>
  <c r="F85" i="10"/>
  <c r="B7" i="10"/>
  <c r="C7" i="10"/>
  <c r="D7" i="10"/>
  <c r="E7" i="10"/>
  <c r="F7" i="10"/>
  <c r="B46" i="10"/>
  <c r="C46" i="10"/>
  <c r="D46" i="10"/>
  <c r="E46" i="10"/>
  <c r="F46" i="10"/>
  <c r="B55" i="10"/>
  <c r="C55" i="10"/>
  <c r="E55" i="10"/>
  <c r="D55" i="10"/>
  <c r="F55" i="10"/>
  <c r="D37" i="10"/>
  <c r="E37" i="10"/>
  <c r="F37" i="10"/>
  <c r="B37" i="10"/>
  <c r="C37" i="10"/>
  <c r="B71" i="10"/>
  <c r="C71" i="10"/>
  <c r="E71" i="10"/>
  <c r="F71" i="10"/>
  <c r="D71" i="10"/>
  <c r="B84" i="10"/>
  <c r="D84" i="10"/>
  <c r="E84" i="10"/>
  <c r="F84" i="10"/>
  <c r="C84" i="10"/>
  <c r="C90" i="10"/>
  <c r="D90" i="10"/>
  <c r="F90" i="10"/>
  <c r="B90" i="10"/>
  <c r="E90" i="10"/>
  <c r="B12" i="10"/>
  <c r="D12" i="10"/>
  <c r="F12" i="10"/>
  <c r="C12" i="10"/>
  <c r="E12" i="10"/>
  <c r="E80" i="10"/>
  <c r="F80" i="10"/>
  <c r="B80" i="10"/>
  <c r="C80" i="10"/>
  <c r="D80" i="10"/>
  <c r="C33" i="10"/>
  <c r="D33" i="10"/>
  <c r="E33" i="10"/>
  <c r="F33" i="10"/>
  <c r="B33" i="10"/>
  <c r="C98" i="10"/>
  <c r="D98" i="10"/>
  <c r="F98" i="10"/>
  <c r="B98" i="10"/>
  <c r="E98" i="10"/>
  <c r="B79" i="10"/>
  <c r="C79" i="10"/>
  <c r="E79" i="10"/>
  <c r="D79" i="10"/>
  <c r="F79" i="10"/>
  <c r="E8" i="10"/>
  <c r="F8" i="10"/>
  <c r="B8" i="10"/>
  <c r="C8" i="10"/>
  <c r="D8" i="10"/>
  <c r="F75" i="10"/>
  <c r="B75" i="10"/>
  <c r="C75" i="10"/>
  <c r="E75" i="10"/>
  <c r="D75" i="10"/>
  <c r="B36" i="10"/>
  <c r="D36" i="10"/>
  <c r="C36" i="10"/>
  <c r="E36" i="10"/>
  <c r="F36" i="10"/>
  <c r="D93" i="10"/>
  <c r="E93" i="10"/>
  <c r="B93" i="10"/>
  <c r="C93" i="10"/>
  <c r="F93" i="10"/>
  <c r="B28" i="10"/>
  <c r="D28" i="10"/>
  <c r="C28" i="10"/>
  <c r="E28" i="10"/>
  <c r="F28" i="10"/>
  <c r="B87" i="10"/>
  <c r="C87" i="10"/>
  <c r="E87" i="10"/>
  <c r="D87" i="10"/>
  <c r="F87" i="10"/>
  <c r="D77" i="10"/>
  <c r="E77" i="10"/>
  <c r="B77" i="10"/>
  <c r="C77" i="10"/>
  <c r="F77" i="10"/>
  <c r="B78" i="10"/>
  <c r="E78" i="10"/>
  <c r="F78" i="10"/>
  <c r="C78" i="10"/>
  <c r="D78" i="10"/>
  <c r="B100" i="10"/>
  <c r="D100" i="10"/>
  <c r="C100" i="10"/>
  <c r="F100" i="10"/>
  <c r="E100" i="10"/>
  <c r="B47" i="10"/>
  <c r="C47" i="10"/>
  <c r="E47" i="10"/>
  <c r="D47" i="10"/>
  <c r="F47" i="10"/>
  <c r="E104" i="10"/>
  <c r="F104" i="10"/>
  <c r="B104" i="10"/>
  <c r="C104" i="10"/>
  <c r="D104" i="10"/>
  <c r="C41" i="10"/>
  <c r="B41" i="10"/>
  <c r="D41" i="10"/>
  <c r="E41" i="10"/>
  <c r="F41" i="10"/>
  <c r="B20" i="10"/>
  <c r="D20" i="10"/>
  <c r="E20" i="10"/>
  <c r="F20" i="10"/>
  <c r="C20" i="10"/>
  <c r="D101" i="10"/>
  <c r="E101" i="10"/>
  <c r="C101" i="10"/>
  <c r="F101" i="10"/>
  <c r="B101" i="10"/>
  <c r="C97" i="10"/>
  <c r="E97" i="10"/>
  <c r="B97" i="10"/>
  <c r="D97" i="10"/>
  <c r="F97" i="10"/>
  <c r="C58" i="10"/>
  <c r="D58" i="10"/>
  <c r="F58" i="10"/>
  <c r="B58" i="10"/>
  <c r="E58" i="10"/>
  <c r="E40" i="10"/>
  <c r="F40" i="10"/>
  <c r="B40" i="10"/>
  <c r="C40" i="10"/>
  <c r="D40" i="10"/>
  <c r="C18" i="10"/>
  <c r="D18" i="10"/>
  <c r="F18" i="10"/>
  <c r="B18" i="10"/>
  <c r="E18" i="10"/>
  <c r="B102" i="10"/>
  <c r="E102" i="10"/>
  <c r="D102" i="10"/>
  <c r="C102" i="10"/>
  <c r="F102" i="10"/>
  <c r="B52" i="10"/>
  <c r="D52" i="10"/>
  <c r="C52" i="10"/>
  <c r="E52" i="10"/>
  <c r="F52" i="10"/>
  <c r="C105" i="10"/>
  <c r="D105" i="10"/>
  <c r="F105" i="10"/>
  <c r="B105" i="10"/>
  <c r="E105" i="10"/>
  <c r="B68" i="10"/>
  <c r="D68" i="10"/>
  <c r="E68" i="10"/>
  <c r="F68" i="10"/>
  <c r="C68" i="10"/>
  <c r="E48" i="10"/>
  <c r="F48" i="10"/>
  <c r="D48" i="10"/>
  <c r="B48" i="10"/>
  <c r="C48" i="10"/>
  <c r="C49" i="10"/>
  <c r="B49" i="10"/>
  <c r="D49" i="10"/>
  <c r="E49" i="10"/>
  <c r="F49" i="10"/>
  <c r="B94" i="10"/>
  <c r="F94" i="10"/>
  <c r="C94" i="10"/>
  <c r="E94" i="10"/>
  <c r="D94" i="10"/>
  <c r="B30" i="10"/>
  <c r="E30" i="10"/>
  <c r="F30" i="10"/>
  <c r="C30" i="10"/>
  <c r="D30" i="10"/>
  <c r="D21" i="10"/>
  <c r="E21" i="10"/>
  <c r="B21" i="10"/>
  <c r="C21" i="10"/>
  <c r="F21" i="10"/>
  <c r="F11" i="10"/>
  <c r="B11" i="10"/>
  <c r="C11" i="10"/>
  <c r="D11" i="10"/>
  <c r="E11" i="10"/>
  <c r="F35" i="10"/>
  <c r="E35" i="10"/>
  <c r="B35" i="10"/>
  <c r="C35" i="10"/>
  <c r="D35" i="10"/>
  <c r="D69" i="10"/>
  <c r="E69" i="10"/>
  <c r="B69" i="10"/>
  <c r="C69" i="10"/>
  <c r="F69" i="10"/>
  <c r="D45" i="10"/>
  <c r="E45" i="10"/>
  <c r="B45" i="10"/>
  <c r="C45" i="10"/>
  <c r="F45" i="10"/>
  <c r="C57" i="10"/>
  <c r="B57" i="10"/>
  <c r="D57" i="10"/>
  <c r="E57" i="10"/>
  <c r="F57" i="10"/>
  <c r="B39" i="10"/>
  <c r="C39" i="10"/>
  <c r="E39" i="10"/>
  <c r="D39" i="10"/>
  <c r="F39" i="10"/>
  <c r="C42" i="10"/>
  <c r="D42" i="10"/>
  <c r="F42" i="10"/>
  <c r="B42" i="10"/>
  <c r="E42" i="10"/>
  <c r="F59" i="10"/>
  <c r="B59" i="10"/>
  <c r="C59" i="10"/>
  <c r="D59" i="10"/>
  <c r="E59" i="10"/>
  <c r="C10" i="10"/>
  <c r="D10" i="10"/>
  <c r="F10" i="10"/>
  <c r="B10" i="10"/>
  <c r="E10" i="10"/>
  <c r="B70" i="10"/>
  <c r="C70" i="10"/>
  <c r="E70" i="10"/>
  <c r="D70" i="10"/>
  <c r="F70" i="10"/>
  <c r="E72" i="10"/>
  <c r="F72" i="10"/>
  <c r="B72" i="10"/>
  <c r="C72" i="10"/>
  <c r="D72" i="10"/>
  <c r="F6" i="10"/>
  <c r="C6" i="10"/>
  <c r="E6" i="10"/>
  <c r="B6" i="10"/>
  <c r="D6" i="10"/>
  <c r="B63" i="10"/>
  <c r="C63" i="10"/>
  <c r="E63" i="10"/>
  <c r="F63" i="10"/>
  <c r="D63" i="10"/>
  <c r="B62" i="10"/>
  <c r="C62" i="10"/>
  <c r="D62" i="10"/>
  <c r="E62" i="10"/>
  <c r="F62" i="10"/>
  <c r="F43" i="10"/>
  <c r="D43" i="10"/>
  <c r="E43" i="10"/>
  <c r="C43" i="10"/>
  <c r="B43" i="10"/>
  <c r="F27" i="10"/>
  <c r="E27" i="10"/>
  <c r="B27" i="10"/>
  <c r="C27" i="10"/>
  <c r="D27" i="10"/>
  <c r="B76" i="10"/>
  <c r="D76" i="10"/>
  <c r="F76" i="10"/>
  <c r="C76" i="10"/>
  <c r="E76" i="10"/>
  <c r="C82" i="10"/>
  <c r="D82" i="10"/>
  <c r="F82" i="10"/>
  <c r="B82" i="10"/>
  <c r="E82" i="10"/>
  <c r="B54" i="10"/>
  <c r="C54" i="10"/>
  <c r="D54" i="10"/>
  <c r="E54" i="10"/>
  <c r="F54" i="10"/>
  <c r="C25" i="10"/>
  <c r="E25" i="10"/>
  <c r="F25" i="10"/>
  <c r="B25" i="10"/>
  <c r="D25" i="10"/>
  <c r="C89" i="10"/>
  <c r="E89" i="10"/>
  <c r="F89" i="10"/>
  <c r="B89" i="10"/>
  <c r="D89" i="10"/>
  <c r="E56" i="10"/>
  <c r="F56" i="10"/>
  <c r="C56" i="10"/>
  <c r="D56" i="10"/>
  <c r="B56" i="10"/>
  <c r="F67" i="10"/>
  <c r="B67" i="10"/>
  <c r="C67" i="10"/>
  <c r="D67" i="10"/>
  <c r="E67" i="10"/>
  <c r="D29" i="10"/>
  <c r="E29" i="10"/>
  <c r="B29" i="10"/>
  <c r="F29" i="10"/>
  <c r="C29" i="10"/>
  <c r="F51" i="10"/>
  <c r="C51" i="10"/>
  <c r="D51" i="10"/>
  <c r="E51" i="10"/>
  <c r="B51" i="10"/>
  <c r="C17" i="10"/>
  <c r="F17" i="10"/>
  <c r="E17" i="10"/>
  <c r="B17" i="10"/>
  <c r="D17" i="10"/>
  <c r="E64" i="10"/>
  <c r="F64" i="10"/>
  <c r="B64" i="10"/>
  <c r="C64" i="10"/>
  <c r="D64" i="10"/>
  <c r="B31" i="10"/>
  <c r="C31" i="10"/>
  <c r="E31" i="10"/>
  <c r="D31" i="10"/>
  <c r="F31" i="10"/>
  <c r="E24" i="10"/>
  <c r="F24" i="10"/>
  <c r="B24" i="10"/>
  <c r="D24" i="10"/>
  <c r="C24" i="10"/>
  <c r="B86" i="10"/>
  <c r="F86" i="10"/>
  <c r="C86" i="10"/>
  <c r="D86" i="10"/>
  <c r="E86" i="10"/>
  <c r="B103" i="10"/>
  <c r="C103" i="10"/>
  <c r="E103" i="10"/>
  <c r="D103" i="10"/>
  <c r="F103" i="10"/>
  <c r="C81" i="10"/>
  <c r="F81" i="10"/>
  <c r="B81" i="10"/>
  <c r="D81" i="10"/>
  <c r="E81" i="10"/>
  <c r="F83" i="10"/>
  <c r="B83" i="10"/>
  <c r="C83" i="10"/>
  <c r="D83" i="10"/>
  <c r="E83" i="10"/>
  <c r="E96" i="10"/>
  <c r="F96" i="10"/>
  <c r="B96" i="10"/>
  <c r="C96" i="10"/>
  <c r="D96" i="10"/>
  <c r="B15" i="10"/>
  <c r="C15" i="10"/>
  <c r="E15" i="10"/>
  <c r="D15" i="10"/>
  <c r="F15" i="10"/>
  <c r="C26" i="10"/>
  <c r="D26" i="10"/>
  <c r="F26" i="10"/>
  <c r="B26" i="10"/>
  <c r="E26" i="10"/>
  <c r="E88" i="10"/>
  <c r="F88" i="10"/>
  <c r="B88" i="10"/>
  <c r="C88" i="10"/>
  <c r="D88" i="10"/>
  <c r="E32" i="10"/>
  <c r="F32" i="10"/>
  <c r="D32" i="10"/>
  <c r="B32" i="10"/>
  <c r="C32" i="10"/>
  <c r="C34" i="10"/>
  <c r="D34" i="10"/>
  <c r="F34" i="10"/>
  <c r="B34" i="10"/>
  <c r="E34" i="10"/>
  <c r="F7" i="9" l="1"/>
  <c r="F6" i="9"/>
</calcChain>
</file>

<file path=xl/sharedStrings.xml><?xml version="1.0" encoding="utf-8"?>
<sst xmlns="http://schemas.openxmlformats.org/spreadsheetml/2006/main" count="481" uniqueCount="264">
  <si>
    <t>Client Name</t>
  </si>
  <si>
    <t>Industry</t>
  </si>
  <si>
    <t>Region</t>
  </si>
  <si>
    <t>Country</t>
  </si>
  <si>
    <t>Client Segment</t>
  </si>
  <si>
    <t>Date of Win</t>
  </si>
  <si>
    <t>Competitors</t>
  </si>
  <si>
    <t>Professional Services</t>
  </si>
  <si>
    <t>Asia Pacific IOT</t>
  </si>
  <si>
    <t>India</t>
  </si>
  <si>
    <t>General Business: Enterprise Account</t>
  </si>
  <si>
    <t>SoftLayer</t>
  </si>
  <si>
    <t>Other Industry Player</t>
  </si>
  <si>
    <t>Consumer Products</t>
  </si>
  <si>
    <t>Europe IOT</t>
  </si>
  <si>
    <t>Spain</t>
  </si>
  <si>
    <t>None</t>
  </si>
  <si>
    <t>Computer Services</t>
  </si>
  <si>
    <t>General Business: Mid-Market Account</t>
  </si>
  <si>
    <t>HP Hewlett-Packard Ltd</t>
  </si>
  <si>
    <t>AKSAAS / MSP - Managed Service Provider</t>
  </si>
  <si>
    <t>Automotive</t>
  </si>
  <si>
    <t>France</t>
  </si>
  <si>
    <t>Microsoft</t>
  </si>
  <si>
    <t>North America IOT</t>
  </si>
  <si>
    <t>Google</t>
  </si>
  <si>
    <t>Integrated/Aligned Account</t>
  </si>
  <si>
    <t>Government</t>
  </si>
  <si>
    <t>Greater China Group IOT</t>
  </si>
  <si>
    <t>Aoba Hopkins Information Management Ltd</t>
  </si>
  <si>
    <t>Education</t>
  </si>
  <si>
    <t>Media &amp; Entertainment</t>
  </si>
  <si>
    <t>Japan IOT</t>
  </si>
  <si>
    <t>Insurance</t>
  </si>
  <si>
    <t>Accenture</t>
  </si>
  <si>
    <t>Chemicals &amp; Petroleum</t>
  </si>
  <si>
    <t>Verizon</t>
  </si>
  <si>
    <t>Banking</t>
  </si>
  <si>
    <t>Canada</t>
  </si>
  <si>
    <t>Energy &amp; Utilities</t>
  </si>
  <si>
    <t>Telecommunications</t>
  </si>
  <si>
    <t>Travel &amp; Transportation</t>
  </si>
  <si>
    <t>Financial Markets</t>
  </si>
  <si>
    <t>direct IBM deal</t>
  </si>
  <si>
    <t>Electronics</t>
  </si>
  <si>
    <t>Middle East and Africa IOT</t>
  </si>
  <si>
    <t>ComPro Bilisim Teknolojileri A.S / Reseller</t>
  </si>
  <si>
    <t>BP3 Global Inc. (BPM partner with WebSphere) installed the software</t>
  </si>
  <si>
    <t>Germany</t>
  </si>
  <si>
    <t>British Telecommunication Plc</t>
  </si>
  <si>
    <t>CSC</t>
  </si>
  <si>
    <t>Fujitsu Siemens Computers</t>
  </si>
  <si>
    <t>Retail</t>
  </si>
  <si>
    <t>Wholesale Distribution &amp; Services</t>
  </si>
  <si>
    <t>Infosys</t>
  </si>
  <si>
    <t>WIS</t>
  </si>
  <si>
    <t>Latin America IOT</t>
  </si>
  <si>
    <t>Industrial Products</t>
  </si>
  <si>
    <t>Healthcare</t>
  </si>
  <si>
    <t>SAP AG / ztze8k4 / Independent Software Vendor</t>
  </si>
  <si>
    <t>M7 Managed Services / MSP - Managed Service Provider</t>
  </si>
  <si>
    <t>Rackspace US Inc</t>
  </si>
  <si>
    <t>Amazon.com</t>
  </si>
  <si>
    <t>Citrix Systems, Inc. / ztze8l7 / Independent Software Vendor</t>
  </si>
  <si>
    <t>Life Sciences</t>
  </si>
  <si>
    <t>Oracle</t>
  </si>
  <si>
    <t>Kjaer Data / Reseller, Systems Integrator</t>
  </si>
  <si>
    <t>Micro Strategies</t>
  </si>
  <si>
    <t>Associations</t>
  </si>
  <si>
    <t>Salesforce.com</t>
  </si>
  <si>
    <t>GIS</t>
  </si>
  <si>
    <t>NTT</t>
  </si>
  <si>
    <t>Vizrt / Services Provider, Solution Provider</t>
  </si>
  <si>
    <t>Element Blue (IBM Advanced Business Partner) / Element Blue is the Advanced Business Partner of IBM. It helps hundreds of companies create a 'Smarter Business' with computing solutions that provide a sustainable, repeatable, and competitive advantage.    Its creative and seasoned team of software professionals build software products and solutions with IBM technology. Their customers gain value by being uniquely positioned to create a more intelligent operation, agile and cost saving business.</t>
  </si>
  <si>
    <t>Development &amp; Test and Small/ Medium Managed DB</t>
  </si>
  <si>
    <t>Development &amp; Test; Managed Web Hosting Managed Production Infrastructure; Business Continuity with high RTO /RPO</t>
  </si>
  <si>
    <t>Managed Web Hosting Managed Production Infrastructure</t>
  </si>
  <si>
    <t>Development &amp; Test; Managed Production Infrastructure</t>
  </si>
  <si>
    <t>NA</t>
  </si>
  <si>
    <t>Mail system</t>
  </si>
  <si>
    <t>Development &amp; Test ; Managed Web Hosting Managed Production Infrastructure</t>
  </si>
  <si>
    <t>Virtual Server Instances</t>
  </si>
  <si>
    <t>IBM PureApplication Service</t>
  </si>
  <si>
    <t>development/test environment</t>
  </si>
  <si>
    <t>Development &amp; Test; Managed Web Hosting Managed Production Infrastructure; Business Continuity with high RTO/RPO</t>
  </si>
  <si>
    <t>dedicated servers for dev and test, Web hosting, and to deploy a unique production infrastructure</t>
  </si>
  <si>
    <t>Development &amp; Test</t>
  </si>
  <si>
    <t xml:space="preserve">cloud hosting platform </t>
  </si>
  <si>
    <t xml:space="preserve">bare metal offering in a private SoftLayer environment </t>
  </si>
  <si>
    <t>Test application/database processing and performance response to varying infrastructure configurations</t>
  </si>
  <si>
    <t>development/testing environment</t>
  </si>
  <si>
    <t>Managed Web Hosting Managed Production Infrastructure; Small/ Medium Managed DB ; and Virtual Desktop infrastructure.</t>
  </si>
  <si>
    <t>application and database servers</t>
  </si>
  <si>
    <t xml:space="preserve"> Development &amp; Test ;Managed Web Hosting Managed Production Infrastructure; and ERP (SAP). CRM, SCM.</t>
  </si>
  <si>
    <t>One Control application is hosted on the SoftLayer environment</t>
  </si>
  <si>
    <t>dev and test of the analytics engine</t>
  </si>
  <si>
    <t>ERP (SAP). CRM, SCM</t>
  </si>
  <si>
    <t>Development &amp; Test; Managed Web Hosting; Managed Production Infrastructure; Small/ Medium Managed DB; Logistics ; ERP (SAP). CRM, SCM; and Business Continuity with high RTO/RPO</t>
  </si>
  <si>
    <t>hosts an Oracle database; hosts Vyatta networking router device</t>
  </si>
  <si>
    <t>IBM WebSphere Business Process Management software</t>
  </si>
  <si>
    <t>deliver IBM's Informix database managemnt</t>
  </si>
  <si>
    <t>replicated production environment through an Oracle Real Application Clusters (RAC) database and Oracle GoldenGate technology over the SoftLayer network</t>
  </si>
  <si>
    <t>Year of Win</t>
  </si>
  <si>
    <t>Win Back Competitor</t>
  </si>
  <si>
    <t>Business Partner</t>
  </si>
  <si>
    <t>Workload</t>
  </si>
  <si>
    <t>AT&amp;T</t>
  </si>
  <si>
    <t>Dell</t>
  </si>
  <si>
    <t>Hitachi</t>
  </si>
  <si>
    <t>HCL Technologies</t>
  </si>
  <si>
    <t>Compuware</t>
  </si>
  <si>
    <t>Deloitte &amp; Touche</t>
  </si>
  <si>
    <t>Dimension Data Holdings</t>
  </si>
  <si>
    <t>HP Financial Services</t>
  </si>
  <si>
    <t>iGate</t>
  </si>
  <si>
    <t>NEC</t>
  </si>
  <si>
    <t>SAP</t>
  </si>
  <si>
    <t>SAS</t>
  </si>
  <si>
    <t>Secure Computing</t>
  </si>
  <si>
    <t>TCS Consulting</t>
  </si>
  <si>
    <t>TELSTRA</t>
  </si>
  <si>
    <t>Tibco</t>
  </si>
  <si>
    <t>T'Systems</t>
  </si>
  <si>
    <t>Wipro</t>
  </si>
  <si>
    <t>Cisco</t>
  </si>
  <si>
    <t>VMware</t>
  </si>
  <si>
    <t>All Region</t>
  </si>
  <si>
    <t>All Industry</t>
  </si>
  <si>
    <t>All Year of Win</t>
  </si>
  <si>
    <t>All Competitors</t>
  </si>
  <si>
    <t>All Win Back Competitor</t>
  </si>
  <si>
    <t>All Business Partner</t>
  </si>
  <si>
    <t>All Workload</t>
  </si>
  <si>
    <t>Architecture</t>
  </si>
  <si>
    <t>Construction</t>
  </si>
  <si>
    <t>Engineering</t>
  </si>
  <si>
    <t>All Client Segment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</si>
  <si>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</si>
  <si>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</si>
  <si>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</si>
  <si>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</si>
  <si>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</si>
  <si>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</si>
  <si>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</si>
  <si>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</si>
  <si>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</si>
  <si>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</si>
  <si>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Client 11</t>
  </si>
  <si>
    <t>Client 12</t>
  </si>
  <si>
    <t>Client 13</t>
  </si>
  <si>
    <t>Client 14</t>
  </si>
  <si>
    <t>Client 15</t>
  </si>
  <si>
    <t>Client 16</t>
  </si>
  <si>
    <t>Client 17</t>
  </si>
  <si>
    <t>Client 18</t>
  </si>
  <si>
    <t>Client 19</t>
  </si>
  <si>
    <t>Client 20</t>
  </si>
  <si>
    <t>Client 21</t>
  </si>
  <si>
    <t>Client 22</t>
  </si>
  <si>
    <t>Client 23</t>
  </si>
  <si>
    <t>Client 24</t>
  </si>
  <si>
    <t>Client 25</t>
  </si>
  <si>
    <t>Client 26</t>
  </si>
  <si>
    <t>Client 27</t>
  </si>
  <si>
    <t>Client 28</t>
  </si>
  <si>
    <t>Client 29</t>
  </si>
  <si>
    <t>Client 30</t>
  </si>
  <si>
    <t>Client 31</t>
  </si>
  <si>
    <t>Client 32</t>
  </si>
  <si>
    <t>Client 33</t>
  </si>
  <si>
    <t>Client 34</t>
  </si>
  <si>
    <t>Client 35</t>
  </si>
  <si>
    <t>Client 36</t>
  </si>
  <si>
    <t>Client 37</t>
  </si>
  <si>
    <t>Client 38</t>
  </si>
  <si>
    <t>Client 39</t>
  </si>
  <si>
    <t>Client 40</t>
  </si>
  <si>
    <t>Client 41</t>
  </si>
  <si>
    <t>Client 42</t>
  </si>
  <si>
    <t>Client 43</t>
  </si>
  <si>
    <t>Client 44</t>
  </si>
  <si>
    <t>Client 45</t>
  </si>
  <si>
    <t>Client 46</t>
  </si>
  <si>
    <t>Client 47</t>
  </si>
  <si>
    <t>Client 48</t>
  </si>
  <si>
    <t>Client 49</t>
  </si>
  <si>
    <t>Client 50</t>
  </si>
  <si>
    <t>Client 51</t>
  </si>
  <si>
    <t>Client 52</t>
  </si>
  <si>
    <t>Client 53</t>
  </si>
  <si>
    <t>Client 54</t>
  </si>
  <si>
    <t>Client 55</t>
  </si>
  <si>
    <t>Client 56</t>
  </si>
  <si>
    <t>Client 57</t>
  </si>
  <si>
    <t>Client 58</t>
  </si>
  <si>
    <t>Client 59</t>
  </si>
  <si>
    <t>Client 60</t>
  </si>
  <si>
    <t>Client 61</t>
  </si>
  <si>
    <t>Client 62</t>
  </si>
  <si>
    <t>Client 63</t>
  </si>
  <si>
    <t>Client 64</t>
  </si>
  <si>
    <t>Client 65</t>
  </si>
  <si>
    <t>Client 66</t>
  </si>
  <si>
    <t>Client 67</t>
  </si>
  <si>
    <t>Client 68</t>
  </si>
  <si>
    <t>Client 69</t>
  </si>
  <si>
    <t>Client 70</t>
  </si>
  <si>
    <t>Client 71</t>
  </si>
  <si>
    <t>Client 72</t>
  </si>
  <si>
    <t>Client 73</t>
  </si>
  <si>
    <t>Client 74</t>
  </si>
  <si>
    <t>Client 75</t>
  </si>
  <si>
    <t>Client 76</t>
  </si>
  <si>
    <t>Client 77</t>
  </si>
  <si>
    <t>Client 78</t>
  </si>
  <si>
    <t>Client 79</t>
  </si>
  <si>
    <t>Client 80</t>
  </si>
  <si>
    <t>Client 81</t>
  </si>
  <si>
    <t>Client 82</t>
  </si>
  <si>
    <t>Client 83</t>
  </si>
  <si>
    <t>Client 84</t>
  </si>
  <si>
    <t>Client 85</t>
  </si>
  <si>
    <t>Client 86</t>
  </si>
  <si>
    <t>Client 87</t>
  </si>
  <si>
    <t>Client 88</t>
  </si>
  <si>
    <t>Client 89</t>
  </si>
  <si>
    <t>Client 90</t>
  </si>
  <si>
    <t>Client 91</t>
  </si>
  <si>
    <t>Client 92</t>
  </si>
  <si>
    <t>Client 93</t>
  </si>
  <si>
    <t>Client 94</t>
  </si>
  <si>
    <t>Client 95</t>
  </si>
  <si>
    <t>Client 96</t>
  </si>
  <si>
    <t>Client 97</t>
  </si>
  <si>
    <t>Client 98</t>
  </si>
  <si>
    <t>Client 99</t>
  </si>
  <si>
    <t>Client 100</t>
  </si>
  <si>
    <t>IT</t>
  </si>
  <si>
    <t>US</t>
  </si>
  <si>
    <t>China</t>
  </si>
  <si>
    <t>Win Value ($ M)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</si>
  <si>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</si>
  <si>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</si>
  <si>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</si>
  <si>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</si>
  <si>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</si>
  <si>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</si>
  <si>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</si>
  <si>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</si>
  <si>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</si>
  <si>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</si>
  <si>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</si>
  <si>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</si>
  <si>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All Industries</t>
  </si>
  <si>
    <t>All Regions</t>
  </si>
  <si>
    <t>All Months</t>
  </si>
  <si>
    <t>Industry H1</t>
  </si>
  <si>
    <t>Country H2</t>
  </si>
  <si>
    <t>Date of Win H3</t>
  </si>
  <si>
    <t>Condition</t>
  </si>
  <si>
    <t>c1</t>
  </si>
  <si>
    <t>Count</t>
  </si>
  <si>
    <t>Sum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</si>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</sst>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0" formatCode="_ [$₹-4009]\ * #,##0.0_ ;_ [$₹-4009]\ * \-#,##0.0_ ;_ [$₹-4009]\ * &quot;-&quot;??_ ;_ 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6" applyNumberFormat="0" applyAlignment="0" applyProtection="0"/>
    <xf numFmtId="0" fontId="5" fillId="28" borderId="7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1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6" applyNumberFormat="0" applyAlignment="0" applyProtection="0"/>
    <xf numFmtId="0" fontId="12" fillId="0" borderId="11" applyNumberFormat="0" applyFill="0" applyAlignment="0" applyProtection="0"/>
    <xf numFmtId="0" fontId="13" fillId="31" borderId="0" applyNumberFormat="0" applyBorder="0" applyAlignment="0" applyProtection="0"/>
    <xf numFmtId="0" fontId="1" fillId="32" borderId="12" applyNumberFormat="0" applyFont="0" applyAlignment="0" applyProtection="0"/>
    <xf numFmtId="0" fontId="14" fillId="27" borderId="13" applyNumberFormat="0" applyAlignment="0" applyProtection="0"/>
    <xf numFmtId="0" fontId="15" fillId="0" borderId="0" applyNumberFormat="0" applyFill="0" applyBorder="0" applyAlignment="0" applyProtection="0"/>
    <xf numFmtId="0" fontId="16" fillId="0" borderId="14" applyNumberFormat="0" applyFill="0" applyAlignment="0" applyProtection="0"/>
    <xf numFmtId="0" fontId="17" fillId="0" borderId="0" applyNumberFormat="0" applyFill="0" applyBorder="0" applyAlignment="0" applyProtection="0"/>
  </cellStyleXfs>
  <cellXfs count="26">
    <xf numFmtId="0" fontId="0" fillId="0" borderId="0" xfId="0"/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0" fillId="0" borderId="1" xfId="0" applyBorder="1"/>
    <xf numFmtId="0" fontId="0" fillId="33" borderId="1" xfId="0" applyFill="1" applyBorder="1"/>
    <xf numFmtId="0" fontId="0" fillId="33" borderId="2" xfId="0" applyFill="1" applyBorder="1"/>
    <xf numFmtId="0" fontId="0" fillId="0" borderId="2" xfId="0" applyBorder="1"/>
    <xf numFmtId="0" fontId="0" fillId="33" borderId="3" xfId="0" applyFill="1" applyBorder="1"/>
    <xf numFmtId="0" fontId="0" fillId="33" borderId="4" xfId="0" applyFill="1" applyBorder="1"/>
    <xf numFmtId="0" fontId="0" fillId="0" borderId="4" xfId="0" applyBorder="1"/>
    <xf numFmtId="0" fontId="0" fillId="0" borderId="2" xfId="0" applyFill="1" applyBorder="1"/>
    <xf numFmtId="0" fontId="0" fillId="0" borderId="5" xfId="0" applyFill="1" applyBorder="1"/>
    <xf numFmtId="0" fontId="0" fillId="0" borderId="1" xfId="0" applyFill="1" applyBorder="1"/>
    <xf numFmtId="0" fontId="19" fillId="0" borderId="1" xfId="0" applyFont="1" applyBorder="1" applyAlignment="1">
      <alignment wrapText="1"/>
    </xf>
    <xf numFmtId="0" fontId="18" fillId="0" borderId="1" xfId="0" applyFont="1" applyBorder="1" applyAlignment="1">
      <alignment wrapText="1"/>
    </xf>
    <xf numFmtId="14" fontId="18" fillId="0" borderId="1" xfId="0" applyNumberFormat="1" applyFont="1" applyBorder="1" applyAlignment="1">
      <alignment wrapText="1"/>
    </xf>
    <xf numFmtId="0" fontId="18" fillId="0" borderId="1" xfId="0" applyFont="1" applyBorder="1" applyAlignment="1">
      <alignment horizontal="center" wrapText="1"/>
    </xf>
    <xf numFmtId="0" fontId="19" fillId="34" borderId="1" xfId="0" applyFont="1" applyFill="1" applyBorder="1" applyAlignment="1">
      <alignment horizontal="center" wrapText="1"/>
    </xf>
    <xf numFmtId="0" fontId="20" fillId="0" borderId="1" xfId="0" applyFont="1" applyBorder="1"/>
    <xf numFmtId="14" fontId="20" fillId="0" borderId="1" xfId="0" applyNumberFormat="1" applyFont="1" applyBorder="1"/>
    <xf numFmtId="0" fontId="0" fillId="0" borderId="1" xfId="0" applyFont="1" applyBorder="1"/>
    <xf numFmtId="0" fontId="0" fillId="0" borderId="2" xfId="0" applyFont="1" applyBorder="1"/>
    <xf numFmtId="0" fontId="0" fillId="0" borderId="0" xfId="0" applyFont="1"/>
    <xf numFmtId="0" fontId="0" fillId="0" borderId="1" xfId="0" applyFont="1" applyBorder="1" applyAlignment="1">
      <alignment wrapText="1"/>
    </xf>
    <xf numFmtId="0" fontId="0" fillId="0" borderId="2" xfId="0" applyFont="1" applyBorder="1" applyAlignment="1">
      <alignment wrapText="1"/>
    </xf>
    <xf numFmtId="190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6" dropStyle="combo" dx="26" fmlaLink="Links!$E$1" fmlaRange="Links!$A$1:$A$6" noThreeD="1" sel="2" val="0"/>
</file>

<file path=xl/ctrlProps/ctrlProp2.xml><?xml version="1.0" encoding="utf-8"?>
<formControlPr xmlns="http://schemas.microsoft.com/office/spreadsheetml/2009/9/main" objectType="Drop" dropStyle="combo" dx="26" fmlaLink="Links!$F$1" fmlaRange="Links!$B$1:$B$8" noThreeD="1" sel="1" val="0"/>
</file>

<file path=xl/ctrlProps/ctrlProp3.xml><?xml version="1.0" encoding="utf-8"?>
<formControlPr xmlns="http://schemas.microsoft.com/office/spreadsheetml/2009/9/main" objectType="Drop" dropStyle="combo" dx="26" fmlaLink="Links!$G$1" fmlaRange="Links!$C$1:$C$13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</xdr:colOff>
          <xdr:row>1</xdr:row>
          <xdr:rowOff>114300</xdr:rowOff>
        </xdr:from>
        <xdr:to>
          <xdr:col>2</xdr:col>
          <xdr:colOff>7620</xdr:colOff>
          <xdr:row>2</xdr:row>
          <xdr:rowOff>106680</xdr:rowOff>
        </xdr:to>
        <xdr:sp macro="" textlink="">
          <xdr:nvSpPr>
            <xdr:cNvPr id="14337" name="Drop Down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7838CE56-521E-4D3A-9A45-56B53C80F5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1</xdr:row>
          <xdr:rowOff>102870</xdr:rowOff>
        </xdr:from>
        <xdr:to>
          <xdr:col>4</xdr:col>
          <xdr:colOff>0</xdr:colOff>
          <xdr:row>2</xdr:row>
          <xdr:rowOff>118110</xdr:rowOff>
        </xdr:to>
        <xdr:sp macro="" textlink="">
          <xdr:nvSpPr>
            <xdr:cNvPr id="14338" name="Drop Down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7838CE56-521E-4D3A-9A45-56B53C80F5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144780</xdr:colOff>
          <xdr:row>1</xdr:row>
          <xdr:rowOff>102870</xdr:rowOff>
        </xdr:from>
        <xdr:to>
          <xdr:col>5</xdr:col>
          <xdr:colOff>746760</xdr:colOff>
          <xdr:row>2</xdr:row>
          <xdr:rowOff>118110</xdr:rowOff>
        </xdr:to>
        <xdr:sp macro="" textlink="">
          <xdr:nvSpPr>
            <xdr:cNvPr id="14339" name="Drop Down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7838CE56-521E-4D3A-9A45-56B53C80F5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357664</xdr:colOff>
      <xdr:row>7</xdr:row>
      <xdr:rowOff>171450</xdr:rowOff>
    </xdr:from>
    <xdr:to>
      <xdr:col>10</xdr:col>
      <xdr:colOff>11785</xdr:colOff>
      <xdr:row>9</xdr:row>
      <xdr:rowOff>135382</xdr:rowOff>
    </xdr:to>
    <xdr:sp macro="" textlink="Links!F6">
      <xdr:nvSpPr>
        <xdr:cNvPr id="6" name="Rounded Rectangle 1">
          <a:extLst>
            <a:ext uri="{FF2B5EF4-FFF2-40B4-BE49-F238E27FC236}">
              <a16:creationId xmlns:a16="http://schemas.microsoft.com/office/drawing/2014/main" id="{1519BC1B-D3DF-449B-AC9D-2CBBF312AD0F}"/>
            </a:ext>
          </a:extLst>
        </xdr:cNvPr>
        <xdr:cNvSpPr/>
      </xdr:nvSpPr>
      <xdr:spPr>
        <a:xfrm>
          <a:off x="6110764" y="1581150"/>
          <a:ext cx="873321" cy="32969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1FC46D1-54CB-41E5-9906-354C3BA03D48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21</a:t>
          </a:fld>
          <a:endParaRPr lang="en-GB" sz="3200" b="1" i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oneCellAnchor>
    <xdr:from>
      <xdr:col>8</xdr:col>
      <xdr:colOff>292925</xdr:colOff>
      <xdr:row>6</xdr:row>
      <xdr:rowOff>47625</xdr:rowOff>
    </xdr:from>
    <xdr:ext cx="991490" cy="31149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188A3C7-D955-473D-AC37-DCF2C14AB89A}"/>
            </a:ext>
          </a:extLst>
        </xdr:cNvPr>
        <xdr:cNvSpPr txBox="1"/>
      </xdr:nvSpPr>
      <xdr:spPr>
        <a:xfrm>
          <a:off x="6046025" y="1274445"/>
          <a:ext cx="99149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/>
            <a:t>Deal Count</a:t>
          </a:r>
        </a:p>
      </xdr:txBody>
    </xdr:sp>
    <xdr:clientData/>
  </xdr:oneCellAnchor>
  <xdr:twoCellAnchor>
    <xdr:from>
      <xdr:col>8</xdr:col>
      <xdr:colOff>0</xdr:colOff>
      <xdr:row>15</xdr:row>
      <xdr:rowOff>0</xdr:rowOff>
    </xdr:from>
    <xdr:to>
      <xdr:col>10</xdr:col>
      <xdr:colOff>361986</xdr:colOff>
      <xdr:row>19</xdr:row>
      <xdr:rowOff>104775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B610CA1-35AC-433E-A12F-E01B1CF56081}"/>
            </a:ext>
          </a:extLst>
        </xdr:cNvPr>
        <xdr:cNvSpPr/>
      </xdr:nvSpPr>
      <xdr:spPr>
        <a:xfrm>
          <a:off x="5753100" y="2872740"/>
          <a:ext cx="1581186" cy="836295"/>
        </a:xfrm>
        <a:prstGeom prst="rect">
          <a:avLst/>
        </a:prstGeom>
        <a:solidFill>
          <a:schemeClr val="accent1">
            <a:alpha val="18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357664</xdr:colOff>
      <xdr:row>16</xdr:row>
      <xdr:rowOff>171450</xdr:rowOff>
    </xdr:from>
    <xdr:to>
      <xdr:col>10</xdr:col>
      <xdr:colOff>11785</xdr:colOff>
      <xdr:row>18</xdr:row>
      <xdr:rowOff>135382</xdr:rowOff>
    </xdr:to>
    <xdr:sp macro="" textlink="Links!F7">
      <xdr:nvSpPr>
        <xdr:cNvPr id="9" name="Rounded Rectangle 1">
          <a:extLst>
            <a:ext uri="{FF2B5EF4-FFF2-40B4-BE49-F238E27FC236}">
              <a16:creationId xmlns:a16="http://schemas.microsoft.com/office/drawing/2014/main" id="{D8BAF249-741F-442A-97AB-5C9B1A01D355}"/>
            </a:ext>
          </a:extLst>
        </xdr:cNvPr>
        <xdr:cNvSpPr/>
      </xdr:nvSpPr>
      <xdr:spPr>
        <a:xfrm>
          <a:off x="6110764" y="3227070"/>
          <a:ext cx="873321" cy="32969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A8BD528-8F8A-4825-85A8-63DCD0953609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₹ 13,745.0 </a:t>
          </a:fld>
          <a:endParaRPr lang="en-GB" sz="3200" b="1" i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oneCellAnchor>
    <xdr:from>
      <xdr:col>8</xdr:col>
      <xdr:colOff>292925</xdr:colOff>
      <xdr:row>15</xdr:row>
      <xdr:rowOff>47625</xdr:rowOff>
    </xdr:from>
    <xdr:ext cx="1218539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55788A2-1D37-44BF-8F2A-C482BD1690C8}"/>
            </a:ext>
          </a:extLst>
        </xdr:cNvPr>
        <xdr:cNvSpPr txBox="1"/>
      </xdr:nvSpPr>
      <xdr:spPr>
        <a:xfrm>
          <a:off x="6046025" y="2920365"/>
          <a:ext cx="121853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/>
            <a:t>Sum</a:t>
          </a:r>
          <a:r>
            <a:rPr lang="en-GB" sz="1400" baseline="0"/>
            <a:t> of Values</a:t>
          </a:r>
          <a:endParaRPr lang="en-GB" sz="1400"/>
        </a:p>
      </xdr:txBody>
    </xdr:sp>
    <xdr:clientData/>
  </xdr:oneCellAnchor>
  <xdr:twoCellAnchor>
    <xdr:from>
      <xdr:col>7</xdr:col>
      <xdr:colOff>586740</xdr:colOff>
      <xdr:row>5</xdr:row>
      <xdr:rowOff>30480</xdr:rowOff>
    </xdr:from>
    <xdr:to>
      <xdr:col>10</xdr:col>
      <xdr:colOff>339126</xdr:colOff>
      <xdr:row>9</xdr:row>
      <xdr:rowOff>135255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75529E9-7F2A-48C2-8513-82906B39D099}"/>
            </a:ext>
          </a:extLst>
        </xdr:cNvPr>
        <xdr:cNvSpPr/>
      </xdr:nvSpPr>
      <xdr:spPr>
        <a:xfrm>
          <a:off x="5730240" y="1074420"/>
          <a:ext cx="1581186" cy="836295"/>
        </a:xfrm>
        <a:prstGeom prst="rect">
          <a:avLst/>
        </a:prstGeom>
        <a:solidFill>
          <a:schemeClr val="accent1">
            <a:alpha val="18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1"/>
  <sheetViews>
    <sheetView tabSelected="1" topLeftCell="A94" workbookViewId="0">
      <selection activeCell="G117" sqref="G117"/>
    </sheetView>
  </sheetViews>
  <sheetFormatPr defaultColWidth="20.44140625" defaultRowHeight="14.4" x14ac:dyDescent="0.3"/>
  <cols>
    <col min="1" max="1" width="13.44140625" customWidth="1"/>
    <col min="2" max="2" width="15.88671875" customWidth="1"/>
    <col min="3" max="3" width="13.44140625" customWidth="1"/>
    <col min="4" max="4" width="14" customWidth="1"/>
    <col min="6" max="6" width="12.6640625" customWidth="1"/>
    <col min="7" max="10" width="20.44140625" customWidth="1"/>
    <col min="11" max="12" width="3" bestFit="1" customWidth="1"/>
    <col min="13" max="13" width="20.44140625" customWidth="1"/>
    <col min="38" max="16384" width="20.44140625" style="1"/>
  </cols>
  <sheetData>
    <row r="1" spans="1:37" s="2" customFormat="1" ht="15" customHeight="1" x14ac:dyDescent="0.25">
      <c r="A1" s="17" t="s">
        <v>0</v>
      </c>
      <c r="B1" s="17" t="s">
        <v>1</v>
      </c>
      <c r="C1" s="17" t="s">
        <v>3</v>
      </c>
      <c r="D1" s="17" t="s">
        <v>5</v>
      </c>
      <c r="E1" s="17" t="s">
        <v>240</v>
      </c>
      <c r="G1" s="17" t="s">
        <v>256</v>
      </c>
      <c r="H1" s="17" t="s">
        <v>257</v>
      </c>
      <c r="I1" s="17" t="s">
        <v>258</v>
      </c>
      <c r="J1" s="17" t="s">
        <v>259</v>
      </c>
      <c r="K1" s="17" t="s">
        <v>260</v>
      </c>
      <c r="L1" s="17" t="s">
        <v>263</v>
      </c>
    </row>
    <row r="2" spans="1:37" ht="15" customHeight="1" x14ac:dyDescent="0.3">
      <c r="A2" s="14" t="s">
        <v>137</v>
      </c>
      <c r="B2" s="14" t="s">
        <v>58</v>
      </c>
      <c r="C2" s="14" t="s">
        <v>239</v>
      </c>
      <c r="D2" s="15">
        <v>41641</v>
      </c>
      <c r="E2" s="16">
        <v>739</v>
      </c>
      <c r="F2" s="1"/>
      <c r="G2" t="b">
        <f>IF(Links!$E$2="All Industries",TRUE,Links!$E$2=Data!B2)</f>
        <v>1</v>
      </c>
      <c r="H2" t="b">
        <f>IF(Links!$F$2="All Regions",TRUE,Links!$F$2=Data!C2)</f>
        <v>1</v>
      </c>
      <c r="I2" t="b">
        <f>IF(Links!$G$2="All Months",TRUE,Links!$G$2=Data!D2)</f>
        <v>1</v>
      </c>
      <c r="J2" t="b">
        <f>AND(G2:I2)</f>
        <v>1</v>
      </c>
      <c r="K2">
        <f>IF(J2,ROWS($J$2:J2),"")</f>
        <v>1</v>
      </c>
      <c r="L2">
        <f>IFERROR(SMALL($K$2:$K$101,ROWS($K$2:K2)),"")</f>
        <v>1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15" customHeight="1" x14ac:dyDescent="0.3">
      <c r="A3" s="14" t="s">
        <v>138</v>
      </c>
      <c r="B3" s="14" t="s">
        <v>37</v>
      </c>
      <c r="C3" s="14" t="s">
        <v>22</v>
      </c>
      <c r="D3" s="15">
        <v>41645</v>
      </c>
      <c r="E3" s="16">
        <v>948</v>
      </c>
      <c r="F3" s="1"/>
      <c r="G3" t="b">
        <f>IF(Links!$E$2="All Industries",TRUE,Links!$E$2=Data!B3)</f>
        <v>0</v>
      </c>
      <c r="H3" t="b">
        <f>IF(Links!$F$2="All Regions",TRUE,Links!$F$2=Data!C3)</f>
        <v>1</v>
      </c>
      <c r="I3" t="b">
        <f>IF(Links!$G$2="All Months",TRUE,Links!$G$2=Data!D3)</f>
        <v>1</v>
      </c>
      <c r="J3" t="b">
        <f t="shared" ref="J3:J66" si="0">AND(G3:I3)</f>
        <v>0</v>
      </c>
      <c r="K3" t="str">
        <f>IF(J3,ROWS($J$2:J3),"")</f>
        <v/>
      </c>
      <c r="L3">
        <f>IFERROR(SMALL($K$2:$K$101,ROWS($K$2:K3)),"")</f>
        <v>9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5" customHeight="1" x14ac:dyDescent="0.3">
      <c r="A4" s="14" t="s">
        <v>139</v>
      </c>
      <c r="B4" s="14" t="s">
        <v>21</v>
      </c>
      <c r="C4" s="14" t="s">
        <v>238</v>
      </c>
      <c r="D4" s="15">
        <v>41646</v>
      </c>
      <c r="E4" s="16">
        <v>964</v>
      </c>
      <c r="F4" s="1"/>
      <c r="G4" t="b">
        <f>IF(Links!$E$2="All Industries",TRUE,Links!$E$2=Data!B4)</f>
        <v>0</v>
      </c>
      <c r="H4" t="b">
        <f>IF(Links!$F$2="All Regions",TRUE,Links!$F$2=Data!C4)</f>
        <v>1</v>
      </c>
      <c r="I4" t="b">
        <f>IF(Links!$G$2="All Months",TRUE,Links!$G$2=Data!D4)</f>
        <v>1</v>
      </c>
      <c r="J4" t="b">
        <f t="shared" si="0"/>
        <v>0</v>
      </c>
      <c r="K4" t="str">
        <f>IF(J4,ROWS($J$2:J4),"")</f>
        <v/>
      </c>
      <c r="L4">
        <f>IFERROR(SMALL($K$2:$K$101,ROWS($K$2:K4)),"")</f>
        <v>14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5" customHeight="1" x14ac:dyDescent="0.3">
      <c r="A5" s="14" t="s">
        <v>140</v>
      </c>
      <c r="B5" s="14" t="s">
        <v>237</v>
      </c>
      <c r="C5" s="14" t="s">
        <v>15</v>
      </c>
      <c r="D5" s="15">
        <v>41649</v>
      </c>
      <c r="E5" s="16">
        <v>896</v>
      </c>
      <c r="F5" s="1"/>
      <c r="G5" t="b">
        <f>IF(Links!$E$2="All Industries",TRUE,Links!$E$2=Data!B5)</f>
        <v>0</v>
      </c>
      <c r="H5" t="b">
        <f>IF(Links!$F$2="All Regions",TRUE,Links!$F$2=Data!C5)</f>
        <v>1</v>
      </c>
      <c r="I5" t="b">
        <f>IF(Links!$G$2="All Months",TRUE,Links!$G$2=Data!D5)</f>
        <v>1</v>
      </c>
      <c r="J5" t="b">
        <f t="shared" si="0"/>
        <v>0</v>
      </c>
      <c r="K5" t="str">
        <f>IF(J5,ROWS($J$2:J5),"")</f>
        <v/>
      </c>
      <c r="L5">
        <f>IFERROR(SMALL($K$2:$K$101,ROWS($K$2:K5)),"")</f>
        <v>15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5" customHeight="1" x14ac:dyDescent="0.3">
      <c r="A6" s="14" t="s">
        <v>141</v>
      </c>
      <c r="B6" s="14" t="s">
        <v>37</v>
      </c>
      <c r="C6" s="14" t="s">
        <v>239</v>
      </c>
      <c r="D6" s="15">
        <v>41650</v>
      </c>
      <c r="E6" s="16">
        <v>106</v>
      </c>
      <c r="F6" s="1"/>
      <c r="G6" t="b">
        <f>IF(Links!$E$2="All Industries",TRUE,Links!$E$2=Data!B6)</f>
        <v>0</v>
      </c>
      <c r="H6" t="b">
        <f>IF(Links!$F$2="All Regions",TRUE,Links!$F$2=Data!C6)</f>
        <v>1</v>
      </c>
      <c r="I6" t="b">
        <f>IF(Links!$G$2="All Months",TRUE,Links!$G$2=Data!D6)</f>
        <v>1</v>
      </c>
      <c r="J6" t="b">
        <f t="shared" si="0"/>
        <v>0</v>
      </c>
      <c r="K6" t="str">
        <f>IF(J6,ROWS($J$2:J6),"")</f>
        <v/>
      </c>
      <c r="L6">
        <f>IFERROR(SMALL($K$2:$K$101,ROWS($K$2:K6)),"")</f>
        <v>22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5" customHeight="1" x14ac:dyDescent="0.3">
      <c r="A7" s="14" t="s">
        <v>142</v>
      </c>
      <c r="B7" s="14" t="s">
        <v>52</v>
      </c>
      <c r="C7" s="14" t="s">
        <v>48</v>
      </c>
      <c r="D7" s="15">
        <v>41654</v>
      </c>
      <c r="E7" s="16">
        <v>512</v>
      </c>
      <c r="F7" s="1"/>
      <c r="G7" t="b">
        <f>IF(Links!$E$2="All Industries",TRUE,Links!$E$2=Data!B7)</f>
        <v>0</v>
      </c>
      <c r="H7" t="b">
        <f>IF(Links!$F$2="All Regions",TRUE,Links!$F$2=Data!C7)</f>
        <v>1</v>
      </c>
      <c r="I7" t="b">
        <f>IF(Links!$G$2="All Months",TRUE,Links!$G$2=Data!D7)</f>
        <v>1</v>
      </c>
      <c r="J7" t="b">
        <f t="shared" si="0"/>
        <v>0</v>
      </c>
      <c r="K7" t="str">
        <f>IF(J7,ROWS($J$2:J7),"")</f>
        <v/>
      </c>
      <c r="L7">
        <f>IFERROR(SMALL($K$2:$K$101,ROWS($K$2:K7)),"")</f>
        <v>26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15" customHeight="1" x14ac:dyDescent="0.3">
      <c r="A8" s="14" t="s">
        <v>143</v>
      </c>
      <c r="B8" s="14" t="s">
        <v>52</v>
      </c>
      <c r="C8" s="14" t="s">
        <v>38</v>
      </c>
      <c r="D8" s="15">
        <v>41655</v>
      </c>
      <c r="E8" s="16">
        <v>125</v>
      </c>
      <c r="F8" s="1"/>
      <c r="G8" t="b">
        <f>IF(Links!$E$2="All Industries",TRUE,Links!$E$2=Data!B8)</f>
        <v>0</v>
      </c>
      <c r="H8" t="b">
        <f>IF(Links!$F$2="All Regions",TRUE,Links!$F$2=Data!C8)</f>
        <v>1</v>
      </c>
      <c r="I8" t="b">
        <f>IF(Links!$G$2="All Months",TRUE,Links!$G$2=Data!D8)</f>
        <v>1</v>
      </c>
      <c r="J8" t="b">
        <f t="shared" si="0"/>
        <v>0</v>
      </c>
      <c r="K8" t="str">
        <f>IF(J8,ROWS($J$2:J8),"")</f>
        <v/>
      </c>
      <c r="L8">
        <f>IFERROR(SMALL($K$2:$K$101,ROWS($K$2:K8)),"")</f>
        <v>31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15" customHeight="1" x14ac:dyDescent="0.3">
      <c r="A9" s="14" t="s">
        <v>144</v>
      </c>
      <c r="B9" s="14" t="s">
        <v>52</v>
      </c>
      <c r="C9" s="14" t="s">
        <v>22</v>
      </c>
      <c r="D9" s="15">
        <v>41666</v>
      </c>
      <c r="E9" s="16">
        <v>966</v>
      </c>
      <c r="F9" s="1"/>
      <c r="G9" t="b">
        <f>IF(Links!$E$2="All Industries",TRUE,Links!$E$2=Data!B9)</f>
        <v>0</v>
      </c>
      <c r="H9" t="b">
        <f>IF(Links!$F$2="All Regions",TRUE,Links!$F$2=Data!C9)</f>
        <v>1</v>
      </c>
      <c r="I9" t="b">
        <f>IF(Links!$G$2="All Months",TRUE,Links!$G$2=Data!D9)</f>
        <v>1</v>
      </c>
      <c r="J9" t="b">
        <f t="shared" si="0"/>
        <v>0</v>
      </c>
      <c r="K9" t="str">
        <f>IF(J9,ROWS($J$2:J9),"")</f>
        <v/>
      </c>
      <c r="L9">
        <f>IFERROR(SMALL($K$2:$K$101,ROWS($K$2:K9)),"")</f>
        <v>33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15" customHeight="1" x14ac:dyDescent="0.3">
      <c r="A10" s="14" t="s">
        <v>145</v>
      </c>
      <c r="B10" s="14" t="s">
        <v>58</v>
      </c>
      <c r="C10" s="14" t="s">
        <v>15</v>
      </c>
      <c r="D10" s="15">
        <v>41669</v>
      </c>
      <c r="E10" s="16">
        <v>170</v>
      </c>
      <c r="F10" s="1"/>
      <c r="G10" t="b">
        <f>IF(Links!$E$2="All Industries",TRUE,Links!$E$2=Data!B10)</f>
        <v>1</v>
      </c>
      <c r="H10" t="b">
        <f>IF(Links!$F$2="All Regions",TRUE,Links!$F$2=Data!C10)</f>
        <v>1</v>
      </c>
      <c r="I10" t="b">
        <f>IF(Links!$G$2="All Months",TRUE,Links!$G$2=Data!D10)</f>
        <v>1</v>
      </c>
      <c r="J10" t="b">
        <f t="shared" si="0"/>
        <v>1</v>
      </c>
      <c r="K10">
        <f>IF(J10,ROWS($J$2:J10),"")</f>
        <v>9</v>
      </c>
      <c r="L10">
        <f>IFERROR(SMALL($K$2:$K$101,ROWS($K$2:K10)),"")</f>
        <v>55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5" customHeight="1" x14ac:dyDescent="0.3">
      <c r="A11" s="14" t="s">
        <v>146</v>
      </c>
      <c r="B11" s="14" t="s">
        <v>237</v>
      </c>
      <c r="C11" s="14" t="s">
        <v>38</v>
      </c>
      <c r="D11" s="15">
        <v>41670</v>
      </c>
      <c r="E11" s="16">
        <v>301</v>
      </c>
      <c r="F11" s="1"/>
      <c r="G11" t="b">
        <f>IF(Links!$E$2="All Industries",TRUE,Links!$E$2=Data!B11)</f>
        <v>0</v>
      </c>
      <c r="H11" t="b">
        <f>IF(Links!$F$2="All Regions",TRUE,Links!$F$2=Data!C11)</f>
        <v>1</v>
      </c>
      <c r="I11" t="b">
        <f>IF(Links!$G$2="All Months",TRUE,Links!$G$2=Data!D11)</f>
        <v>1</v>
      </c>
      <c r="J11" t="b">
        <f t="shared" si="0"/>
        <v>0</v>
      </c>
      <c r="K11" t="str">
        <f>IF(J11,ROWS($J$2:J11),"")</f>
        <v/>
      </c>
      <c r="L11">
        <f>IFERROR(SMALL($K$2:$K$101,ROWS($K$2:K11)),"")</f>
        <v>56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15" customHeight="1" x14ac:dyDescent="0.3">
      <c r="A12" s="14" t="s">
        <v>147</v>
      </c>
      <c r="B12" s="14" t="s">
        <v>21</v>
      </c>
      <c r="C12" s="14" t="s">
        <v>38</v>
      </c>
      <c r="D12" s="15">
        <v>41671</v>
      </c>
      <c r="E12" s="16">
        <v>445</v>
      </c>
      <c r="F12" s="1"/>
      <c r="G12" t="b">
        <f>IF(Links!$E$2="All Industries",TRUE,Links!$E$2=Data!B12)</f>
        <v>0</v>
      </c>
      <c r="H12" t="b">
        <f>IF(Links!$F$2="All Regions",TRUE,Links!$F$2=Data!C12)</f>
        <v>1</v>
      </c>
      <c r="I12" t="b">
        <f>IF(Links!$G$2="All Months",TRUE,Links!$G$2=Data!D12)</f>
        <v>1</v>
      </c>
      <c r="J12" t="b">
        <f t="shared" si="0"/>
        <v>0</v>
      </c>
      <c r="K12" t="str">
        <f>IF(J12,ROWS($J$2:J12),"")</f>
        <v/>
      </c>
      <c r="L12">
        <f>IFERROR(SMALL($K$2:$K$101,ROWS($K$2:K12)),"")</f>
        <v>63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15" customHeight="1" x14ac:dyDescent="0.3">
      <c r="A13" s="14" t="s">
        <v>148</v>
      </c>
      <c r="B13" s="14" t="s">
        <v>52</v>
      </c>
      <c r="C13" s="14" t="s">
        <v>239</v>
      </c>
      <c r="D13" s="15">
        <v>41672</v>
      </c>
      <c r="E13" s="16">
        <v>597</v>
      </c>
      <c r="F13" s="1"/>
      <c r="G13" t="b">
        <f>IF(Links!$E$2="All Industries",TRUE,Links!$E$2=Data!B13)</f>
        <v>0</v>
      </c>
      <c r="H13" t="b">
        <f>IF(Links!$F$2="All Regions",TRUE,Links!$F$2=Data!C13)</f>
        <v>1</v>
      </c>
      <c r="I13" t="b">
        <f>IF(Links!$G$2="All Months",TRUE,Links!$G$2=Data!D13)</f>
        <v>1</v>
      </c>
      <c r="J13" t="b">
        <f t="shared" si="0"/>
        <v>0</v>
      </c>
      <c r="K13" t="str">
        <f>IF(J13,ROWS($J$2:J13),"")</f>
        <v/>
      </c>
      <c r="L13">
        <f>IFERROR(SMALL($K$2:$K$101,ROWS($K$2:K13)),"")</f>
        <v>64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15" customHeight="1" x14ac:dyDescent="0.3">
      <c r="A14" s="14" t="s">
        <v>149</v>
      </c>
      <c r="B14" s="14" t="s">
        <v>37</v>
      </c>
      <c r="C14" s="14" t="s">
        <v>238</v>
      </c>
      <c r="D14" s="15">
        <v>41678</v>
      </c>
      <c r="E14" s="16">
        <v>958</v>
      </c>
      <c r="F14" s="1"/>
      <c r="G14" t="b">
        <f>IF(Links!$E$2="All Industries",TRUE,Links!$E$2=Data!B14)</f>
        <v>0</v>
      </c>
      <c r="H14" t="b">
        <f>IF(Links!$F$2="All Regions",TRUE,Links!$F$2=Data!C14)</f>
        <v>1</v>
      </c>
      <c r="I14" t="b">
        <f>IF(Links!$G$2="All Months",TRUE,Links!$G$2=Data!D14)</f>
        <v>1</v>
      </c>
      <c r="J14" t="b">
        <f t="shared" si="0"/>
        <v>0</v>
      </c>
      <c r="K14" t="str">
        <f>IF(J14,ROWS($J$2:J14),"")</f>
        <v/>
      </c>
      <c r="L14">
        <f>IFERROR(SMALL($K$2:$K$101,ROWS($K$2:K14)),"")</f>
        <v>69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15" customHeight="1" x14ac:dyDescent="0.3">
      <c r="A15" s="14" t="s">
        <v>150</v>
      </c>
      <c r="B15" s="14" t="s">
        <v>58</v>
      </c>
      <c r="C15" s="14" t="s">
        <v>38</v>
      </c>
      <c r="D15" s="15">
        <v>41678</v>
      </c>
      <c r="E15" s="16">
        <v>517</v>
      </c>
      <c r="F15" s="1"/>
      <c r="G15" t="b">
        <f>IF(Links!$E$2="All Industries",TRUE,Links!$E$2=Data!B15)</f>
        <v>1</v>
      </c>
      <c r="H15" t="b">
        <f>IF(Links!$F$2="All Regions",TRUE,Links!$F$2=Data!C15)</f>
        <v>1</v>
      </c>
      <c r="I15" t="b">
        <f>IF(Links!$G$2="All Months",TRUE,Links!$G$2=Data!D15)</f>
        <v>1</v>
      </c>
      <c r="J15" t="b">
        <f t="shared" si="0"/>
        <v>1</v>
      </c>
      <c r="K15">
        <f>IF(J15,ROWS($J$2:J15),"")</f>
        <v>14</v>
      </c>
      <c r="L15">
        <f>IFERROR(SMALL($K$2:$K$101,ROWS($K$2:K15)),"")</f>
        <v>75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15" customHeight="1" x14ac:dyDescent="0.3">
      <c r="A16" s="14" t="s">
        <v>151</v>
      </c>
      <c r="B16" s="14" t="s">
        <v>58</v>
      </c>
      <c r="C16" s="14" t="s">
        <v>239</v>
      </c>
      <c r="D16" s="15">
        <v>41679</v>
      </c>
      <c r="E16" s="16">
        <v>999</v>
      </c>
      <c r="F16" s="1"/>
      <c r="G16" t="b">
        <f>IF(Links!$E$2="All Industries",TRUE,Links!$E$2=Data!B16)</f>
        <v>1</v>
      </c>
      <c r="H16" t="b">
        <f>IF(Links!$F$2="All Regions",TRUE,Links!$F$2=Data!C16)</f>
        <v>1</v>
      </c>
      <c r="I16" t="b">
        <f>IF(Links!$G$2="All Months",TRUE,Links!$G$2=Data!D16)</f>
        <v>1</v>
      </c>
      <c r="J16" t="b">
        <f t="shared" si="0"/>
        <v>1</v>
      </c>
      <c r="K16">
        <f>IF(J16,ROWS($J$2:J16),"")</f>
        <v>15</v>
      </c>
      <c r="L16">
        <f>IFERROR(SMALL($K$2:$K$101,ROWS($K$2:K16)),"")</f>
        <v>76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15" customHeight="1" x14ac:dyDescent="0.3">
      <c r="A17" s="14" t="s">
        <v>152</v>
      </c>
      <c r="B17" s="14" t="s">
        <v>237</v>
      </c>
      <c r="C17" s="14" t="s">
        <v>15</v>
      </c>
      <c r="D17" s="15">
        <v>41696</v>
      </c>
      <c r="E17" s="16">
        <v>531</v>
      </c>
      <c r="F17" s="1"/>
      <c r="G17" t="b">
        <f>IF(Links!$E$2="All Industries",TRUE,Links!$E$2=Data!B17)</f>
        <v>0</v>
      </c>
      <c r="H17" t="b">
        <f>IF(Links!$F$2="All Regions",TRUE,Links!$F$2=Data!C17)</f>
        <v>1</v>
      </c>
      <c r="I17" t="b">
        <f>IF(Links!$G$2="All Months",TRUE,Links!$G$2=Data!D17)</f>
        <v>1</v>
      </c>
      <c r="J17" t="b">
        <f t="shared" si="0"/>
        <v>0</v>
      </c>
      <c r="K17" t="str">
        <f>IF(J17,ROWS($J$2:J17),"")</f>
        <v/>
      </c>
      <c r="L17">
        <f>IFERROR(SMALL($K$2:$K$101,ROWS($K$2:K17)),"")</f>
        <v>77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15" customHeight="1" x14ac:dyDescent="0.3">
      <c r="A18" s="14" t="s">
        <v>153</v>
      </c>
      <c r="B18" s="14" t="s">
        <v>37</v>
      </c>
      <c r="C18" s="14" t="s">
        <v>22</v>
      </c>
      <c r="D18" s="15">
        <v>41699</v>
      </c>
      <c r="E18" s="16">
        <v>442</v>
      </c>
      <c r="F18" s="1"/>
      <c r="G18" t="b">
        <f>IF(Links!$E$2="All Industries",TRUE,Links!$E$2=Data!B18)</f>
        <v>0</v>
      </c>
      <c r="H18" t="b">
        <f>IF(Links!$F$2="All Regions",TRUE,Links!$F$2=Data!C18)</f>
        <v>1</v>
      </c>
      <c r="I18" t="b">
        <f>IF(Links!$G$2="All Months",TRUE,Links!$G$2=Data!D18)</f>
        <v>1</v>
      </c>
      <c r="J18" t="b">
        <f t="shared" si="0"/>
        <v>0</v>
      </c>
      <c r="K18" t="str">
        <f>IF(J18,ROWS($J$2:J18),"")</f>
        <v/>
      </c>
      <c r="L18">
        <f>IFERROR(SMALL($K$2:$K$101,ROWS($K$2:K18)),"")</f>
        <v>81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15" customHeight="1" x14ac:dyDescent="0.3">
      <c r="A19" s="14" t="s">
        <v>154</v>
      </c>
      <c r="B19" s="14" t="s">
        <v>21</v>
      </c>
      <c r="C19" s="14" t="s">
        <v>48</v>
      </c>
      <c r="D19" s="15">
        <v>41712</v>
      </c>
      <c r="E19" s="16">
        <v>878</v>
      </c>
      <c r="F19" s="1"/>
      <c r="G19" t="b">
        <f>IF(Links!$E$2="All Industries",TRUE,Links!$E$2=Data!B19)</f>
        <v>0</v>
      </c>
      <c r="H19" t="b">
        <f>IF(Links!$F$2="All Regions",TRUE,Links!$F$2=Data!C19)</f>
        <v>1</v>
      </c>
      <c r="I19" t="b">
        <f>IF(Links!$G$2="All Months",TRUE,Links!$G$2=Data!D19)</f>
        <v>1</v>
      </c>
      <c r="J19" t="b">
        <f t="shared" si="0"/>
        <v>0</v>
      </c>
      <c r="K19" t="str">
        <f>IF(J19,ROWS($J$2:J19),"")</f>
        <v/>
      </c>
      <c r="L19">
        <f>IFERROR(SMALL($K$2:$K$101,ROWS($K$2:K19)),"")</f>
        <v>82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15" customHeight="1" x14ac:dyDescent="0.3">
      <c r="A20" s="14" t="s">
        <v>155</v>
      </c>
      <c r="B20" s="14" t="s">
        <v>52</v>
      </c>
      <c r="C20" s="14" t="s">
        <v>15</v>
      </c>
      <c r="D20" s="15">
        <v>41720</v>
      </c>
      <c r="E20" s="16">
        <v>560</v>
      </c>
      <c r="F20" s="1"/>
      <c r="G20" t="b">
        <f>IF(Links!$E$2="All Industries",TRUE,Links!$E$2=Data!B20)</f>
        <v>0</v>
      </c>
      <c r="H20" t="b">
        <f>IF(Links!$F$2="All Regions",TRUE,Links!$F$2=Data!C20)</f>
        <v>1</v>
      </c>
      <c r="I20" t="b">
        <f>IF(Links!$G$2="All Months",TRUE,Links!$G$2=Data!D20)</f>
        <v>1</v>
      </c>
      <c r="J20" t="b">
        <f t="shared" si="0"/>
        <v>0</v>
      </c>
      <c r="K20" t="str">
        <f>IF(J20,ROWS($J$2:J20),"")</f>
        <v/>
      </c>
      <c r="L20">
        <f>IFERROR(SMALL($K$2:$K$101,ROWS($K$2:K20)),"")</f>
        <v>85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15" customHeight="1" x14ac:dyDescent="0.3">
      <c r="A21" s="14" t="s">
        <v>156</v>
      </c>
      <c r="B21" s="14" t="s">
        <v>237</v>
      </c>
      <c r="C21" s="14" t="s">
        <v>15</v>
      </c>
      <c r="D21" s="15">
        <v>41725</v>
      </c>
      <c r="E21" s="16">
        <v>680</v>
      </c>
      <c r="F21" s="1"/>
      <c r="G21" t="b">
        <f>IF(Links!$E$2="All Industries",TRUE,Links!$E$2=Data!B21)</f>
        <v>0</v>
      </c>
      <c r="H21" t="b">
        <f>IF(Links!$F$2="All Regions",TRUE,Links!$F$2=Data!C21)</f>
        <v>1</v>
      </c>
      <c r="I21" t="b">
        <f>IF(Links!$G$2="All Months",TRUE,Links!$G$2=Data!D21)</f>
        <v>1</v>
      </c>
      <c r="J21" t="b">
        <f t="shared" si="0"/>
        <v>0</v>
      </c>
      <c r="K21" t="str">
        <f>IF(J21,ROWS($J$2:J21),"")</f>
        <v/>
      </c>
      <c r="L21">
        <f>IFERROR(SMALL($K$2:$K$101,ROWS($K$2:K21)),"")</f>
        <v>86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5" customHeight="1" x14ac:dyDescent="0.3">
      <c r="A22" s="14" t="s">
        <v>157</v>
      </c>
      <c r="B22" s="14" t="s">
        <v>237</v>
      </c>
      <c r="C22" s="14" t="s">
        <v>22</v>
      </c>
      <c r="D22" s="15">
        <v>41725</v>
      </c>
      <c r="E22" s="16">
        <v>494</v>
      </c>
      <c r="F22" s="1"/>
      <c r="G22" t="b">
        <f>IF(Links!$E$2="All Industries",TRUE,Links!$E$2=Data!B22)</f>
        <v>0</v>
      </c>
      <c r="H22" t="b">
        <f>IF(Links!$F$2="All Regions",TRUE,Links!$F$2=Data!C22)</f>
        <v>1</v>
      </c>
      <c r="I22" t="b">
        <f>IF(Links!$G$2="All Months",TRUE,Links!$G$2=Data!D22)</f>
        <v>1</v>
      </c>
      <c r="J22" t="b">
        <f t="shared" si="0"/>
        <v>0</v>
      </c>
      <c r="K22" t="str">
        <f>IF(J22,ROWS($J$2:J22),"")</f>
        <v/>
      </c>
      <c r="L22">
        <f>IFERROR(SMALL($K$2:$K$101,ROWS($K$2:K22)),"")</f>
        <v>89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15" customHeight="1" x14ac:dyDescent="0.3">
      <c r="A23" s="14" t="s">
        <v>158</v>
      </c>
      <c r="B23" s="14" t="s">
        <v>58</v>
      </c>
      <c r="C23" s="14" t="s">
        <v>9</v>
      </c>
      <c r="D23" s="15">
        <v>41727</v>
      </c>
      <c r="E23" s="16">
        <v>973</v>
      </c>
      <c r="F23" s="1"/>
      <c r="G23" t="b">
        <f>IF(Links!$E$2="All Industries",TRUE,Links!$E$2=Data!B23)</f>
        <v>1</v>
      </c>
      <c r="H23" t="b">
        <f>IF(Links!$F$2="All Regions",TRUE,Links!$F$2=Data!C23)</f>
        <v>1</v>
      </c>
      <c r="I23" t="b">
        <f>IF(Links!$G$2="All Months",TRUE,Links!$G$2=Data!D23)</f>
        <v>1</v>
      </c>
      <c r="J23" t="b">
        <f t="shared" si="0"/>
        <v>1</v>
      </c>
      <c r="K23">
        <f>IF(J23,ROWS($J$2:J23),"")</f>
        <v>22</v>
      </c>
      <c r="L23" t="str">
        <f>IFERROR(SMALL($K$2:$K$101,ROWS($K$2:K23)),"")</f>
        <v/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5" customHeight="1" x14ac:dyDescent="0.3">
      <c r="A24" s="14" t="s">
        <v>159</v>
      </c>
      <c r="B24" s="14" t="s">
        <v>21</v>
      </c>
      <c r="C24" s="14" t="s">
        <v>38</v>
      </c>
      <c r="D24" s="15">
        <v>41727</v>
      </c>
      <c r="E24" s="16">
        <v>940</v>
      </c>
      <c r="F24" s="1"/>
      <c r="G24" t="b">
        <f>IF(Links!$E$2="All Industries",TRUE,Links!$E$2=Data!B24)</f>
        <v>0</v>
      </c>
      <c r="H24" t="b">
        <f>IF(Links!$F$2="All Regions",TRUE,Links!$F$2=Data!C24)</f>
        <v>1</v>
      </c>
      <c r="I24" t="b">
        <f>IF(Links!$G$2="All Months",TRUE,Links!$G$2=Data!D24)</f>
        <v>1</v>
      </c>
      <c r="J24" t="b">
        <f t="shared" si="0"/>
        <v>0</v>
      </c>
      <c r="K24" t="str">
        <f>IF(J24,ROWS($J$2:J24),"")</f>
        <v/>
      </c>
      <c r="L24" t="str">
        <f>IFERROR(SMALL($K$2:$K$101,ROWS($K$2:K24)),"")</f>
        <v/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15" customHeight="1" x14ac:dyDescent="0.3">
      <c r="A25" s="14" t="s">
        <v>160</v>
      </c>
      <c r="B25" s="14" t="s">
        <v>21</v>
      </c>
      <c r="C25" s="14" t="s">
        <v>38</v>
      </c>
      <c r="D25" s="15">
        <v>41728</v>
      </c>
      <c r="E25" s="16">
        <v>571</v>
      </c>
      <c r="F25" s="1"/>
      <c r="G25" t="b">
        <f>IF(Links!$E$2="All Industries",TRUE,Links!$E$2=Data!B25)</f>
        <v>0</v>
      </c>
      <c r="H25" t="b">
        <f>IF(Links!$F$2="All Regions",TRUE,Links!$F$2=Data!C25)</f>
        <v>1</v>
      </c>
      <c r="I25" t="b">
        <f>IF(Links!$G$2="All Months",TRUE,Links!$G$2=Data!D25)</f>
        <v>1</v>
      </c>
      <c r="J25" t="b">
        <f t="shared" si="0"/>
        <v>0</v>
      </c>
      <c r="K25" t="str">
        <f>IF(J25,ROWS($J$2:J25),"")</f>
        <v/>
      </c>
      <c r="L25" t="str">
        <f>IFERROR(SMALL($K$2:$K$101,ROWS($K$2:K25)),"")</f>
        <v/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15" customHeight="1" x14ac:dyDescent="0.3">
      <c r="A26" s="14" t="s">
        <v>161</v>
      </c>
      <c r="B26" s="14" t="s">
        <v>21</v>
      </c>
      <c r="C26" s="14" t="s">
        <v>38</v>
      </c>
      <c r="D26" s="15">
        <v>41728</v>
      </c>
      <c r="E26" s="16">
        <v>216</v>
      </c>
      <c r="F26" s="1"/>
      <c r="G26" t="b">
        <f>IF(Links!$E$2="All Industries",TRUE,Links!$E$2=Data!B26)</f>
        <v>0</v>
      </c>
      <c r="H26" t="b">
        <f>IF(Links!$F$2="All Regions",TRUE,Links!$F$2=Data!C26)</f>
        <v>1</v>
      </c>
      <c r="I26" t="b">
        <f>IF(Links!$G$2="All Months",TRUE,Links!$G$2=Data!D26)</f>
        <v>1</v>
      </c>
      <c r="J26" t="b">
        <f t="shared" si="0"/>
        <v>0</v>
      </c>
      <c r="K26" t="str">
        <f>IF(J26,ROWS($J$2:J26),"")</f>
        <v/>
      </c>
      <c r="L26" t="str">
        <f>IFERROR(SMALL($K$2:$K$101,ROWS($K$2:K26)),"")</f>
        <v/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15" customHeight="1" x14ac:dyDescent="0.3">
      <c r="A27" s="14" t="s">
        <v>162</v>
      </c>
      <c r="B27" s="14" t="s">
        <v>58</v>
      </c>
      <c r="C27" s="14" t="s">
        <v>239</v>
      </c>
      <c r="D27" s="15">
        <v>41731</v>
      </c>
      <c r="E27" s="16">
        <v>890</v>
      </c>
      <c r="F27" s="1"/>
      <c r="G27" t="b">
        <f>IF(Links!$E$2="All Industries",TRUE,Links!$E$2=Data!B27)</f>
        <v>1</v>
      </c>
      <c r="H27" t="b">
        <f>IF(Links!$F$2="All Regions",TRUE,Links!$F$2=Data!C27)</f>
        <v>1</v>
      </c>
      <c r="I27" t="b">
        <f>IF(Links!$G$2="All Months",TRUE,Links!$G$2=Data!D27)</f>
        <v>1</v>
      </c>
      <c r="J27" t="b">
        <f t="shared" si="0"/>
        <v>1</v>
      </c>
      <c r="K27">
        <f>IF(J27,ROWS($J$2:J27),"")</f>
        <v>26</v>
      </c>
      <c r="L27" t="str">
        <f>IFERROR(SMALL($K$2:$K$101,ROWS($K$2:K27)),"")</f>
        <v/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15" customHeight="1" x14ac:dyDescent="0.3">
      <c r="A28" s="14" t="s">
        <v>163</v>
      </c>
      <c r="B28" s="14" t="s">
        <v>237</v>
      </c>
      <c r="C28" s="14" t="s">
        <v>48</v>
      </c>
      <c r="D28" s="15">
        <v>41731</v>
      </c>
      <c r="E28" s="16">
        <v>616</v>
      </c>
      <c r="F28" s="1"/>
      <c r="G28" t="b">
        <f>IF(Links!$E$2="All Industries",TRUE,Links!$E$2=Data!B28)</f>
        <v>0</v>
      </c>
      <c r="H28" t="b">
        <f>IF(Links!$F$2="All Regions",TRUE,Links!$F$2=Data!C28)</f>
        <v>1</v>
      </c>
      <c r="I28" t="b">
        <f>IF(Links!$G$2="All Months",TRUE,Links!$G$2=Data!D28)</f>
        <v>1</v>
      </c>
      <c r="J28" t="b">
        <f t="shared" si="0"/>
        <v>0</v>
      </c>
      <c r="K28" t="str">
        <f>IF(J28,ROWS($J$2:J28),"")</f>
        <v/>
      </c>
      <c r="L28" t="str">
        <f>IFERROR(SMALL($K$2:$K$101,ROWS($K$2:K28)),"")</f>
        <v/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5" customHeight="1" x14ac:dyDescent="0.3">
      <c r="A29" s="14" t="s">
        <v>164</v>
      </c>
      <c r="B29" s="14" t="s">
        <v>237</v>
      </c>
      <c r="C29" s="14" t="s">
        <v>15</v>
      </c>
      <c r="D29" s="15">
        <v>41739</v>
      </c>
      <c r="E29" s="16">
        <v>151</v>
      </c>
      <c r="F29" s="1"/>
      <c r="G29" t="b">
        <f>IF(Links!$E$2="All Industries",TRUE,Links!$E$2=Data!B29)</f>
        <v>0</v>
      </c>
      <c r="H29" t="b">
        <f>IF(Links!$F$2="All Regions",TRUE,Links!$F$2=Data!C29)</f>
        <v>1</v>
      </c>
      <c r="I29" t="b">
        <f>IF(Links!$G$2="All Months",TRUE,Links!$G$2=Data!D29)</f>
        <v>1</v>
      </c>
      <c r="J29" t="b">
        <f t="shared" si="0"/>
        <v>0</v>
      </c>
      <c r="K29" t="str">
        <f>IF(J29,ROWS($J$2:J29),"")</f>
        <v/>
      </c>
      <c r="L29" t="str">
        <f>IFERROR(SMALL($K$2:$K$101,ROWS($K$2:K29)),"")</f>
        <v/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5" customHeight="1" x14ac:dyDescent="0.3">
      <c r="A30" s="14" t="s">
        <v>165</v>
      </c>
      <c r="B30" s="14" t="s">
        <v>52</v>
      </c>
      <c r="C30" s="14" t="s">
        <v>22</v>
      </c>
      <c r="D30" s="15">
        <v>41740</v>
      </c>
      <c r="E30" s="16">
        <v>264</v>
      </c>
      <c r="F30" s="1"/>
      <c r="G30" t="b">
        <f>IF(Links!$E$2="All Industries",TRUE,Links!$E$2=Data!B30)</f>
        <v>0</v>
      </c>
      <c r="H30" t="b">
        <f>IF(Links!$F$2="All Regions",TRUE,Links!$F$2=Data!C30)</f>
        <v>1</v>
      </c>
      <c r="I30" t="b">
        <f>IF(Links!$G$2="All Months",TRUE,Links!$G$2=Data!D30)</f>
        <v>1</v>
      </c>
      <c r="J30" t="b">
        <f t="shared" si="0"/>
        <v>0</v>
      </c>
      <c r="K30" t="str">
        <f>IF(J30,ROWS($J$2:J30),"")</f>
        <v/>
      </c>
      <c r="L30" t="str">
        <f>IFERROR(SMALL($K$2:$K$101,ROWS($K$2:K30)),"")</f>
        <v/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15" customHeight="1" x14ac:dyDescent="0.3">
      <c r="A31" s="14" t="s">
        <v>166</v>
      </c>
      <c r="B31" s="14" t="s">
        <v>37</v>
      </c>
      <c r="C31" s="14" t="s">
        <v>15</v>
      </c>
      <c r="D31" s="15">
        <v>41740</v>
      </c>
      <c r="E31" s="16">
        <v>502</v>
      </c>
      <c r="F31" s="1"/>
      <c r="G31" t="b">
        <f>IF(Links!$E$2="All Industries",TRUE,Links!$E$2=Data!B31)</f>
        <v>0</v>
      </c>
      <c r="H31" t="b">
        <f>IF(Links!$F$2="All Regions",TRUE,Links!$F$2=Data!C31)</f>
        <v>1</v>
      </c>
      <c r="I31" t="b">
        <f>IF(Links!$G$2="All Months",TRUE,Links!$G$2=Data!D31)</f>
        <v>1</v>
      </c>
      <c r="J31" t="b">
        <f t="shared" si="0"/>
        <v>0</v>
      </c>
      <c r="K31" t="str">
        <f>IF(J31,ROWS($J$2:J31),"")</f>
        <v/>
      </c>
      <c r="L31" t="str">
        <f>IFERROR(SMALL($K$2:$K$101,ROWS($K$2:K31)),"")</f>
        <v/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15" customHeight="1" x14ac:dyDescent="0.3">
      <c r="A32" s="14" t="s">
        <v>167</v>
      </c>
      <c r="B32" s="14" t="s">
        <v>58</v>
      </c>
      <c r="C32" s="14" t="s">
        <v>15</v>
      </c>
      <c r="D32" s="15">
        <v>41741</v>
      </c>
      <c r="E32" s="16">
        <v>763</v>
      </c>
      <c r="F32" s="1"/>
      <c r="G32" t="b">
        <f>IF(Links!$E$2="All Industries",TRUE,Links!$E$2=Data!B32)</f>
        <v>1</v>
      </c>
      <c r="H32" t="b">
        <f>IF(Links!$F$2="All Regions",TRUE,Links!$F$2=Data!C32)</f>
        <v>1</v>
      </c>
      <c r="I32" t="b">
        <f>IF(Links!$G$2="All Months",TRUE,Links!$G$2=Data!D32)</f>
        <v>1</v>
      </c>
      <c r="J32" t="b">
        <f t="shared" si="0"/>
        <v>1</v>
      </c>
      <c r="K32">
        <f>IF(J32,ROWS($J$2:J32),"")</f>
        <v>31</v>
      </c>
      <c r="L32" t="str">
        <f>IFERROR(SMALL($K$2:$K$101,ROWS($K$2:K32)),"")</f>
        <v/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15" customHeight="1" x14ac:dyDescent="0.3">
      <c r="A33" s="14" t="s">
        <v>168</v>
      </c>
      <c r="B33" s="14" t="s">
        <v>237</v>
      </c>
      <c r="C33" s="14" t="s">
        <v>48</v>
      </c>
      <c r="D33" s="15">
        <v>41743</v>
      </c>
      <c r="E33" s="16">
        <v>739</v>
      </c>
      <c r="F33" s="1"/>
      <c r="G33" t="b">
        <f>IF(Links!$E$2="All Industries",TRUE,Links!$E$2=Data!B33)</f>
        <v>0</v>
      </c>
      <c r="H33" t="b">
        <f>IF(Links!$F$2="All Regions",TRUE,Links!$F$2=Data!C33)</f>
        <v>1</v>
      </c>
      <c r="I33" t="b">
        <f>IF(Links!$G$2="All Months",TRUE,Links!$G$2=Data!D33)</f>
        <v>1</v>
      </c>
      <c r="J33" t="b">
        <f t="shared" si="0"/>
        <v>0</v>
      </c>
      <c r="K33" t="str">
        <f>IF(J33,ROWS($J$2:J33),"")</f>
        <v/>
      </c>
      <c r="L33" t="str">
        <f>IFERROR(SMALL($K$2:$K$101,ROWS($K$2:K33)),"")</f>
        <v/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5" customHeight="1" x14ac:dyDescent="0.3">
      <c r="A34" s="14" t="s">
        <v>169</v>
      </c>
      <c r="B34" s="14" t="s">
        <v>58</v>
      </c>
      <c r="C34" s="14" t="s">
        <v>9</v>
      </c>
      <c r="D34" s="15">
        <v>41743</v>
      </c>
      <c r="E34" s="16">
        <v>970</v>
      </c>
      <c r="F34" s="1"/>
      <c r="G34" t="b">
        <f>IF(Links!$E$2="All Industries",TRUE,Links!$E$2=Data!B34)</f>
        <v>1</v>
      </c>
      <c r="H34" t="b">
        <f>IF(Links!$F$2="All Regions",TRUE,Links!$F$2=Data!C34)</f>
        <v>1</v>
      </c>
      <c r="I34" t="b">
        <f>IF(Links!$G$2="All Months",TRUE,Links!$G$2=Data!D34)</f>
        <v>1</v>
      </c>
      <c r="J34" t="b">
        <f t="shared" si="0"/>
        <v>1</v>
      </c>
      <c r="K34">
        <f>IF(J34,ROWS($J$2:J34),"")</f>
        <v>33</v>
      </c>
      <c r="L34" t="str">
        <f>IFERROR(SMALL($K$2:$K$101,ROWS($K$2:K34)),"")</f>
        <v/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5" customHeight="1" x14ac:dyDescent="0.3">
      <c r="A35" s="14" t="s">
        <v>170</v>
      </c>
      <c r="B35" s="14" t="s">
        <v>21</v>
      </c>
      <c r="C35" s="14" t="s">
        <v>38</v>
      </c>
      <c r="D35" s="15">
        <v>41746</v>
      </c>
      <c r="E35" s="16">
        <v>677</v>
      </c>
      <c r="F35" s="1"/>
      <c r="G35" t="b">
        <f>IF(Links!$E$2="All Industries",TRUE,Links!$E$2=Data!B35)</f>
        <v>0</v>
      </c>
      <c r="H35" t="b">
        <f>IF(Links!$F$2="All Regions",TRUE,Links!$F$2=Data!C35)</f>
        <v>1</v>
      </c>
      <c r="I35" t="b">
        <f>IF(Links!$G$2="All Months",TRUE,Links!$G$2=Data!D35)</f>
        <v>1</v>
      </c>
      <c r="J35" t="b">
        <f t="shared" si="0"/>
        <v>0</v>
      </c>
      <c r="K35" t="str">
        <f>IF(J35,ROWS($J$2:J35),"")</f>
        <v/>
      </c>
      <c r="L35" t="str">
        <f>IFERROR(SMALL($K$2:$K$101,ROWS($K$2:K35)),"")</f>
        <v/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5" customHeight="1" x14ac:dyDescent="0.3">
      <c r="A36" s="14" t="s">
        <v>171</v>
      </c>
      <c r="B36" s="14" t="s">
        <v>52</v>
      </c>
      <c r="C36" s="14" t="s">
        <v>239</v>
      </c>
      <c r="D36" s="15">
        <v>41747</v>
      </c>
      <c r="E36" s="16">
        <v>548</v>
      </c>
      <c r="F36" s="1"/>
      <c r="G36" t="b">
        <f>IF(Links!$E$2="All Industries",TRUE,Links!$E$2=Data!B36)</f>
        <v>0</v>
      </c>
      <c r="H36" t="b">
        <f>IF(Links!$F$2="All Regions",TRUE,Links!$F$2=Data!C36)</f>
        <v>1</v>
      </c>
      <c r="I36" t="b">
        <f>IF(Links!$G$2="All Months",TRUE,Links!$G$2=Data!D36)</f>
        <v>1</v>
      </c>
      <c r="J36" t="b">
        <f t="shared" si="0"/>
        <v>0</v>
      </c>
      <c r="K36" t="str">
        <f>IF(J36,ROWS($J$2:J36),"")</f>
        <v/>
      </c>
      <c r="L36" t="str">
        <f>IFERROR(SMALL($K$2:$K$101,ROWS($K$2:K36)),"")</f>
        <v/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5" customHeight="1" x14ac:dyDescent="0.3">
      <c r="A37" s="14" t="s">
        <v>172</v>
      </c>
      <c r="B37" s="14" t="s">
        <v>52</v>
      </c>
      <c r="C37" s="14" t="s">
        <v>38</v>
      </c>
      <c r="D37" s="15">
        <v>41755</v>
      </c>
      <c r="E37" s="16">
        <v>546</v>
      </c>
      <c r="F37" s="1"/>
      <c r="G37" t="b">
        <f>IF(Links!$E$2="All Industries",TRUE,Links!$E$2=Data!B37)</f>
        <v>0</v>
      </c>
      <c r="H37" t="b">
        <f>IF(Links!$F$2="All Regions",TRUE,Links!$F$2=Data!C37)</f>
        <v>1</v>
      </c>
      <c r="I37" t="b">
        <f>IF(Links!$G$2="All Months",TRUE,Links!$G$2=Data!D37)</f>
        <v>1</v>
      </c>
      <c r="J37" t="b">
        <f t="shared" si="0"/>
        <v>0</v>
      </c>
      <c r="K37" t="str">
        <f>IF(J37,ROWS($J$2:J37),"")</f>
        <v/>
      </c>
      <c r="L37" t="str">
        <f>IFERROR(SMALL($K$2:$K$101,ROWS($K$2:K37)),"")</f>
        <v/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5" customHeight="1" x14ac:dyDescent="0.3">
      <c r="A38" s="14" t="s">
        <v>173</v>
      </c>
      <c r="B38" s="14" t="s">
        <v>52</v>
      </c>
      <c r="C38" s="14" t="s">
        <v>22</v>
      </c>
      <c r="D38" s="15">
        <v>41760</v>
      </c>
      <c r="E38" s="16">
        <v>725</v>
      </c>
      <c r="F38" s="1"/>
      <c r="G38" t="b">
        <f>IF(Links!$E$2="All Industries",TRUE,Links!$E$2=Data!B38)</f>
        <v>0</v>
      </c>
      <c r="H38" t="b">
        <f>IF(Links!$F$2="All Regions",TRUE,Links!$F$2=Data!C38)</f>
        <v>1</v>
      </c>
      <c r="I38" t="b">
        <f>IF(Links!$G$2="All Months",TRUE,Links!$G$2=Data!D38)</f>
        <v>1</v>
      </c>
      <c r="J38" t="b">
        <f t="shared" si="0"/>
        <v>0</v>
      </c>
      <c r="K38" t="str">
        <f>IF(J38,ROWS($J$2:J38),"")</f>
        <v/>
      </c>
      <c r="L38" t="str">
        <f>IFERROR(SMALL($K$2:$K$101,ROWS($K$2:K38)),"")</f>
        <v/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5" customHeight="1" x14ac:dyDescent="0.3">
      <c r="A39" s="14" t="s">
        <v>174</v>
      </c>
      <c r="B39" s="14" t="s">
        <v>37</v>
      </c>
      <c r="C39" s="14" t="s">
        <v>15</v>
      </c>
      <c r="D39" s="15">
        <v>41760</v>
      </c>
      <c r="E39" s="16">
        <v>613</v>
      </c>
      <c r="F39" s="1"/>
      <c r="G39" t="b">
        <f>IF(Links!$E$2="All Industries",TRUE,Links!$E$2=Data!B39)</f>
        <v>0</v>
      </c>
      <c r="H39" t="b">
        <f>IF(Links!$F$2="All Regions",TRUE,Links!$F$2=Data!C39)</f>
        <v>1</v>
      </c>
      <c r="I39" t="b">
        <f>IF(Links!$G$2="All Months",TRUE,Links!$G$2=Data!D39)</f>
        <v>1</v>
      </c>
      <c r="J39" t="b">
        <f t="shared" si="0"/>
        <v>0</v>
      </c>
      <c r="K39" t="str">
        <f>IF(J39,ROWS($J$2:J39),"")</f>
        <v/>
      </c>
      <c r="L39" t="str">
        <f>IFERROR(SMALL($K$2:$K$101,ROWS($K$2:K39)),"")</f>
        <v/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5" customHeight="1" x14ac:dyDescent="0.3">
      <c r="A40" s="14" t="s">
        <v>175</v>
      </c>
      <c r="B40" s="14" t="s">
        <v>21</v>
      </c>
      <c r="C40" s="14" t="s">
        <v>48</v>
      </c>
      <c r="D40" s="15">
        <v>41761</v>
      </c>
      <c r="E40" s="16">
        <v>764</v>
      </c>
      <c r="F40" s="1"/>
      <c r="G40" t="b">
        <f>IF(Links!$E$2="All Industries",TRUE,Links!$E$2=Data!B40)</f>
        <v>0</v>
      </c>
      <c r="H40" t="b">
        <f>IF(Links!$F$2="All Regions",TRUE,Links!$F$2=Data!C40)</f>
        <v>1</v>
      </c>
      <c r="I40" t="b">
        <f>IF(Links!$G$2="All Months",TRUE,Links!$G$2=Data!D40)</f>
        <v>1</v>
      </c>
      <c r="J40" t="b">
        <f t="shared" si="0"/>
        <v>0</v>
      </c>
      <c r="K40" t="str">
        <f>IF(J40,ROWS($J$2:J40),"")</f>
        <v/>
      </c>
      <c r="L40" t="str">
        <f>IFERROR(SMALL($K$2:$K$101,ROWS($K$2:K40)),"")</f>
        <v/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5" customHeight="1" x14ac:dyDescent="0.3">
      <c r="A41" s="14" t="s">
        <v>176</v>
      </c>
      <c r="B41" s="14" t="s">
        <v>52</v>
      </c>
      <c r="C41" s="14" t="s">
        <v>15</v>
      </c>
      <c r="D41" s="15">
        <v>41761</v>
      </c>
      <c r="E41" s="16">
        <v>872</v>
      </c>
      <c r="F41" s="1"/>
      <c r="G41" t="b">
        <f>IF(Links!$E$2="All Industries",TRUE,Links!$E$2=Data!B41)</f>
        <v>0</v>
      </c>
      <c r="H41" t="b">
        <f>IF(Links!$F$2="All Regions",TRUE,Links!$F$2=Data!C41)</f>
        <v>1</v>
      </c>
      <c r="I41" t="b">
        <f>IF(Links!$G$2="All Months",TRUE,Links!$G$2=Data!D41)</f>
        <v>1</v>
      </c>
      <c r="J41" t="b">
        <f t="shared" si="0"/>
        <v>0</v>
      </c>
      <c r="K41" t="str">
        <f>IF(J41,ROWS($J$2:J41),"")</f>
        <v/>
      </c>
      <c r="L41" t="str">
        <f>IFERROR(SMALL($K$2:$K$101,ROWS($K$2:K41)),"")</f>
        <v/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5" customHeight="1" x14ac:dyDescent="0.3">
      <c r="A42" s="14" t="s">
        <v>177</v>
      </c>
      <c r="B42" s="14" t="s">
        <v>21</v>
      </c>
      <c r="C42" s="14" t="s">
        <v>15</v>
      </c>
      <c r="D42" s="15">
        <v>41762</v>
      </c>
      <c r="E42" s="16">
        <v>422</v>
      </c>
      <c r="F42" s="1"/>
      <c r="G42" t="b">
        <f>IF(Links!$E$2="All Industries",TRUE,Links!$E$2=Data!B42)</f>
        <v>0</v>
      </c>
      <c r="H42" t="b">
        <f>IF(Links!$F$2="All Regions",TRUE,Links!$F$2=Data!C42)</f>
        <v>1</v>
      </c>
      <c r="I42" t="b">
        <f>IF(Links!$G$2="All Months",TRUE,Links!$G$2=Data!D42)</f>
        <v>1</v>
      </c>
      <c r="J42" t="b">
        <f t="shared" si="0"/>
        <v>0</v>
      </c>
      <c r="K42" t="str">
        <f>IF(J42,ROWS($J$2:J42),"")</f>
        <v/>
      </c>
      <c r="L42" t="str">
        <f>IFERROR(SMALL($K$2:$K$101,ROWS($K$2:K42)),"")</f>
        <v/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5" customHeight="1" x14ac:dyDescent="0.3">
      <c r="A43" s="14" t="s">
        <v>178</v>
      </c>
      <c r="B43" s="14" t="s">
        <v>21</v>
      </c>
      <c r="C43" s="14" t="s">
        <v>38</v>
      </c>
      <c r="D43" s="15">
        <v>41770</v>
      </c>
      <c r="E43" s="16">
        <v>744</v>
      </c>
      <c r="F43" s="1"/>
      <c r="G43" t="b">
        <f>IF(Links!$E$2="All Industries",TRUE,Links!$E$2=Data!B43)</f>
        <v>0</v>
      </c>
      <c r="H43" t="b">
        <f>IF(Links!$F$2="All Regions",TRUE,Links!$F$2=Data!C43)</f>
        <v>1</v>
      </c>
      <c r="I43" t="b">
        <f>IF(Links!$G$2="All Months",TRUE,Links!$G$2=Data!D43)</f>
        <v>1</v>
      </c>
      <c r="J43" t="b">
        <f t="shared" si="0"/>
        <v>0</v>
      </c>
      <c r="K43" t="str">
        <f>IF(J43,ROWS($J$2:J43),"")</f>
        <v/>
      </c>
      <c r="L43" t="str">
        <f>IFERROR(SMALL($K$2:$K$101,ROWS($K$2:K43)),"")</f>
        <v/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5" customHeight="1" x14ac:dyDescent="0.3">
      <c r="A44" s="14" t="s">
        <v>179</v>
      </c>
      <c r="B44" s="14" t="s">
        <v>21</v>
      </c>
      <c r="C44" s="14" t="s">
        <v>238</v>
      </c>
      <c r="D44" s="15">
        <v>41775</v>
      </c>
      <c r="E44" s="16">
        <v>268</v>
      </c>
      <c r="F44" s="1"/>
      <c r="G44" t="b">
        <f>IF(Links!$E$2="All Industries",TRUE,Links!$E$2=Data!B44)</f>
        <v>0</v>
      </c>
      <c r="H44" t="b">
        <f>IF(Links!$F$2="All Regions",TRUE,Links!$F$2=Data!C44)</f>
        <v>1</v>
      </c>
      <c r="I44" t="b">
        <f>IF(Links!$G$2="All Months",TRUE,Links!$G$2=Data!D44)</f>
        <v>1</v>
      </c>
      <c r="J44" t="b">
        <f t="shared" si="0"/>
        <v>0</v>
      </c>
      <c r="K44" t="str">
        <f>IF(J44,ROWS($J$2:J44),"")</f>
        <v/>
      </c>
      <c r="L44" t="str">
        <f>IFERROR(SMALL($K$2:$K$101,ROWS($K$2:K44)),"")</f>
        <v/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5" customHeight="1" x14ac:dyDescent="0.3">
      <c r="A45" s="14" t="s">
        <v>180</v>
      </c>
      <c r="B45" s="14" t="s">
        <v>237</v>
      </c>
      <c r="C45" s="14" t="s">
        <v>15</v>
      </c>
      <c r="D45" s="15">
        <v>41776</v>
      </c>
      <c r="E45" s="16">
        <v>822</v>
      </c>
      <c r="F45" s="1"/>
      <c r="G45" t="b">
        <f>IF(Links!$E$2="All Industries",TRUE,Links!$E$2=Data!B45)</f>
        <v>0</v>
      </c>
      <c r="H45" t="b">
        <f>IF(Links!$F$2="All Regions",TRUE,Links!$F$2=Data!C45)</f>
        <v>1</v>
      </c>
      <c r="I45" t="b">
        <f>IF(Links!$G$2="All Months",TRUE,Links!$G$2=Data!D45)</f>
        <v>1</v>
      </c>
      <c r="J45" t="b">
        <f t="shared" si="0"/>
        <v>0</v>
      </c>
      <c r="K45" t="str">
        <f>IF(J45,ROWS($J$2:J45),"")</f>
        <v/>
      </c>
      <c r="L45" t="str">
        <f>IFERROR(SMALL($K$2:$K$101,ROWS($K$2:K45)),"")</f>
        <v/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5" customHeight="1" x14ac:dyDescent="0.3">
      <c r="A46" s="14" t="s">
        <v>181</v>
      </c>
      <c r="B46" s="14" t="s">
        <v>37</v>
      </c>
      <c r="C46" s="14" t="s">
        <v>48</v>
      </c>
      <c r="D46" s="15">
        <v>41783</v>
      </c>
      <c r="E46" s="16">
        <v>835</v>
      </c>
      <c r="F46" s="1"/>
      <c r="G46" t="b">
        <f>IF(Links!$E$2="All Industries",TRUE,Links!$E$2=Data!B46)</f>
        <v>0</v>
      </c>
      <c r="H46" t="b">
        <f>IF(Links!$F$2="All Regions",TRUE,Links!$F$2=Data!C46)</f>
        <v>1</v>
      </c>
      <c r="I46" t="b">
        <f>IF(Links!$G$2="All Months",TRUE,Links!$G$2=Data!D46)</f>
        <v>1</v>
      </c>
      <c r="J46" t="b">
        <f t="shared" si="0"/>
        <v>0</v>
      </c>
      <c r="K46" t="str">
        <f>IF(J46,ROWS($J$2:J46),"")</f>
        <v/>
      </c>
      <c r="L46" t="str">
        <f>IFERROR(SMALL($K$2:$K$101,ROWS($K$2:K46)),"")</f>
        <v/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5" customHeight="1" x14ac:dyDescent="0.3">
      <c r="A47" s="14" t="s">
        <v>182</v>
      </c>
      <c r="B47" s="14" t="s">
        <v>237</v>
      </c>
      <c r="C47" s="14" t="s">
        <v>15</v>
      </c>
      <c r="D47" s="15">
        <v>41785</v>
      </c>
      <c r="E47" s="16">
        <v>108</v>
      </c>
      <c r="F47" s="1"/>
      <c r="G47" t="b">
        <f>IF(Links!$E$2="All Industries",TRUE,Links!$E$2=Data!B47)</f>
        <v>0</v>
      </c>
      <c r="H47" t="b">
        <f>IF(Links!$F$2="All Regions",TRUE,Links!$F$2=Data!C47)</f>
        <v>1</v>
      </c>
      <c r="I47" t="b">
        <f>IF(Links!$G$2="All Months",TRUE,Links!$G$2=Data!D47)</f>
        <v>1</v>
      </c>
      <c r="J47" t="b">
        <f t="shared" si="0"/>
        <v>0</v>
      </c>
      <c r="K47" t="str">
        <f>IF(J47,ROWS($J$2:J47),"")</f>
        <v/>
      </c>
      <c r="L47" t="str">
        <f>IFERROR(SMALL($K$2:$K$101,ROWS($K$2:K47)),"")</f>
        <v/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5" customHeight="1" x14ac:dyDescent="0.3">
      <c r="A48" s="14" t="s">
        <v>183</v>
      </c>
      <c r="B48" s="14" t="s">
        <v>21</v>
      </c>
      <c r="C48" s="14" t="s">
        <v>9</v>
      </c>
      <c r="D48" s="15">
        <v>41786</v>
      </c>
      <c r="E48" s="16">
        <v>623</v>
      </c>
      <c r="F48" s="1"/>
      <c r="G48" t="b">
        <f>IF(Links!$E$2="All Industries",TRUE,Links!$E$2=Data!B48)</f>
        <v>0</v>
      </c>
      <c r="H48" t="b">
        <f>IF(Links!$F$2="All Regions",TRUE,Links!$F$2=Data!C48)</f>
        <v>1</v>
      </c>
      <c r="I48" t="b">
        <f>IF(Links!$G$2="All Months",TRUE,Links!$G$2=Data!D48)</f>
        <v>1</v>
      </c>
      <c r="J48" t="b">
        <f t="shared" si="0"/>
        <v>0</v>
      </c>
      <c r="K48" t="str">
        <f>IF(J48,ROWS($J$2:J48),"")</f>
        <v/>
      </c>
      <c r="L48" t="str">
        <f>IFERROR(SMALL($K$2:$K$101,ROWS($K$2:K48)),"")</f>
        <v/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5" customHeight="1" x14ac:dyDescent="0.3">
      <c r="A49" s="14" t="s">
        <v>184</v>
      </c>
      <c r="B49" s="14" t="s">
        <v>52</v>
      </c>
      <c r="C49" s="14" t="s">
        <v>48</v>
      </c>
      <c r="D49" s="15">
        <v>41786</v>
      </c>
      <c r="E49" s="16">
        <v>944</v>
      </c>
      <c r="F49" s="1"/>
      <c r="G49" t="b">
        <f>IF(Links!$E$2="All Industries",TRUE,Links!$E$2=Data!B49)</f>
        <v>0</v>
      </c>
      <c r="H49" t="b">
        <f>IF(Links!$F$2="All Regions",TRUE,Links!$F$2=Data!C49)</f>
        <v>1</v>
      </c>
      <c r="I49" t="b">
        <f>IF(Links!$G$2="All Months",TRUE,Links!$G$2=Data!D49)</f>
        <v>1</v>
      </c>
      <c r="J49" t="b">
        <f t="shared" si="0"/>
        <v>0</v>
      </c>
      <c r="K49" t="str">
        <f>IF(J49,ROWS($J$2:J49),"")</f>
        <v/>
      </c>
      <c r="L49" t="str">
        <f>IFERROR(SMALL($K$2:$K$101,ROWS($K$2:K49)),"")</f>
        <v/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5" customHeight="1" x14ac:dyDescent="0.3">
      <c r="A50" s="14" t="s">
        <v>185</v>
      </c>
      <c r="B50" s="14" t="s">
        <v>52</v>
      </c>
      <c r="C50" s="14" t="s">
        <v>238</v>
      </c>
      <c r="D50" s="15">
        <v>41789</v>
      </c>
      <c r="E50" s="16">
        <v>959</v>
      </c>
      <c r="F50" s="1"/>
      <c r="G50" t="b">
        <f>IF(Links!$E$2="All Industries",TRUE,Links!$E$2=Data!B50)</f>
        <v>0</v>
      </c>
      <c r="H50" t="b">
        <f>IF(Links!$F$2="All Regions",TRUE,Links!$F$2=Data!C50)</f>
        <v>1</v>
      </c>
      <c r="I50" t="b">
        <f>IF(Links!$G$2="All Months",TRUE,Links!$G$2=Data!D50)</f>
        <v>1</v>
      </c>
      <c r="J50" t="b">
        <f t="shared" si="0"/>
        <v>0</v>
      </c>
      <c r="K50" t="str">
        <f>IF(J50,ROWS($J$2:J50),"")</f>
        <v/>
      </c>
      <c r="L50" t="str">
        <f>IFERROR(SMALL($K$2:$K$101,ROWS($K$2:K50)),"")</f>
        <v/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5" customHeight="1" x14ac:dyDescent="0.3">
      <c r="A51" s="14" t="s">
        <v>186</v>
      </c>
      <c r="B51" s="14" t="s">
        <v>21</v>
      </c>
      <c r="C51" s="14" t="s">
        <v>9</v>
      </c>
      <c r="D51" s="15">
        <v>41790</v>
      </c>
      <c r="E51" s="16">
        <v>201</v>
      </c>
      <c r="F51" s="1"/>
      <c r="G51" t="b">
        <f>IF(Links!$E$2="All Industries",TRUE,Links!$E$2=Data!B51)</f>
        <v>0</v>
      </c>
      <c r="H51" t="b">
        <f>IF(Links!$F$2="All Regions",TRUE,Links!$F$2=Data!C51)</f>
        <v>1</v>
      </c>
      <c r="I51" t="b">
        <f>IF(Links!$G$2="All Months",TRUE,Links!$G$2=Data!D51)</f>
        <v>1</v>
      </c>
      <c r="J51" t="b">
        <f t="shared" si="0"/>
        <v>0</v>
      </c>
      <c r="K51" t="str">
        <f>IF(J51,ROWS($J$2:J51),"")</f>
        <v/>
      </c>
      <c r="L51" t="str">
        <f>IFERROR(SMALL($K$2:$K$101,ROWS($K$2:K51)),"")</f>
        <v/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5" customHeight="1" x14ac:dyDescent="0.3">
      <c r="A52" s="14" t="s">
        <v>187</v>
      </c>
      <c r="B52" s="14" t="s">
        <v>52</v>
      </c>
      <c r="C52" s="14" t="s">
        <v>9</v>
      </c>
      <c r="D52" s="15">
        <v>41795</v>
      </c>
      <c r="E52" s="16">
        <v>870</v>
      </c>
      <c r="F52" s="1"/>
      <c r="G52" t="b">
        <f>IF(Links!$E$2="All Industries",TRUE,Links!$E$2=Data!B52)</f>
        <v>0</v>
      </c>
      <c r="H52" t="b">
        <f>IF(Links!$F$2="All Regions",TRUE,Links!$F$2=Data!C52)</f>
        <v>1</v>
      </c>
      <c r="I52" t="b">
        <f>IF(Links!$G$2="All Months",TRUE,Links!$G$2=Data!D52)</f>
        <v>1</v>
      </c>
      <c r="J52" t="b">
        <f t="shared" si="0"/>
        <v>0</v>
      </c>
      <c r="K52" t="str">
        <f>IF(J52,ROWS($J$2:J52),"")</f>
        <v/>
      </c>
      <c r="L52" t="str">
        <f>IFERROR(SMALL($K$2:$K$101,ROWS($K$2:K52)),"")</f>
        <v/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5" customHeight="1" x14ac:dyDescent="0.3">
      <c r="A53" s="14" t="s">
        <v>188</v>
      </c>
      <c r="B53" s="14" t="s">
        <v>52</v>
      </c>
      <c r="C53" s="14" t="s">
        <v>38</v>
      </c>
      <c r="D53" s="15">
        <v>41799</v>
      </c>
      <c r="E53" s="16">
        <v>341</v>
      </c>
      <c r="F53" s="1"/>
      <c r="G53" t="b">
        <f>IF(Links!$E$2="All Industries",TRUE,Links!$E$2=Data!B53)</f>
        <v>0</v>
      </c>
      <c r="H53" t="b">
        <f>IF(Links!$F$2="All Regions",TRUE,Links!$F$2=Data!C53)</f>
        <v>1</v>
      </c>
      <c r="I53" t="b">
        <f>IF(Links!$G$2="All Months",TRUE,Links!$G$2=Data!D53)</f>
        <v>1</v>
      </c>
      <c r="J53" t="b">
        <f t="shared" si="0"/>
        <v>0</v>
      </c>
      <c r="K53" t="str">
        <f>IF(J53,ROWS($J$2:J53),"")</f>
        <v/>
      </c>
      <c r="L53" t="str">
        <f>IFERROR(SMALL($K$2:$K$101,ROWS($K$2:K53)),"")</f>
        <v/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5" customHeight="1" x14ac:dyDescent="0.3">
      <c r="A54" s="14" t="s">
        <v>189</v>
      </c>
      <c r="B54" s="14" t="s">
        <v>37</v>
      </c>
      <c r="C54" s="14" t="s">
        <v>38</v>
      </c>
      <c r="D54" s="15">
        <v>41799</v>
      </c>
      <c r="E54" s="16">
        <v>796</v>
      </c>
      <c r="F54" s="1"/>
      <c r="G54" t="b">
        <f>IF(Links!$E$2="All Industries",TRUE,Links!$E$2=Data!B54)</f>
        <v>0</v>
      </c>
      <c r="H54" t="b">
        <f>IF(Links!$F$2="All Regions",TRUE,Links!$F$2=Data!C54)</f>
        <v>1</v>
      </c>
      <c r="I54" t="b">
        <f>IF(Links!$G$2="All Months",TRUE,Links!$G$2=Data!D54)</f>
        <v>1</v>
      </c>
      <c r="J54" t="b">
        <f t="shared" si="0"/>
        <v>0</v>
      </c>
      <c r="K54" t="str">
        <f>IF(J54,ROWS($J$2:J54),"")</f>
        <v/>
      </c>
      <c r="L54" t="str">
        <f>IFERROR(SMALL($K$2:$K$101,ROWS($K$2:K54)),"")</f>
        <v/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5" customHeight="1" x14ac:dyDescent="0.3">
      <c r="A55" s="14" t="s">
        <v>190</v>
      </c>
      <c r="B55" s="14" t="s">
        <v>37</v>
      </c>
      <c r="C55" s="14" t="s">
        <v>15</v>
      </c>
      <c r="D55" s="15">
        <v>41801</v>
      </c>
      <c r="E55" s="16">
        <v>359</v>
      </c>
      <c r="F55" s="1"/>
      <c r="G55" t="b">
        <f>IF(Links!$E$2="All Industries",TRUE,Links!$E$2=Data!B55)</f>
        <v>0</v>
      </c>
      <c r="H55" t="b">
        <f>IF(Links!$F$2="All Regions",TRUE,Links!$F$2=Data!C55)</f>
        <v>1</v>
      </c>
      <c r="I55" t="b">
        <f>IF(Links!$G$2="All Months",TRUE,Links!$G$2=Data!D55)</f>
        <v>1</v>
      </c>
      <c r="J55" t="b">
        <f t="shared" si="0"/>
        <v>0</v>
      </c>
      <c r="K55" t="str">
        <f>IF(J55,ROWS($J$2:J55),"")</f>
        <v/>
      </c>
      <c r="L55" t="str">
        <f>IFERROR(SMALL($K$2:$K$101,ROWS($K$2:K55)),"")</f>
        <v/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5" customHeight="1" x14ac:dyDescent="0.3">
      <c r="A56" s="14" t="s">
        <v>191</v>
      </c>
      <c r="B56" s="14" t="s">
        <v>58</v>
      </c>
      <c r="C56" s="14" t="s">
        <v>38</v>
      </c>
      <c r="D56" s="15">
        <v>41801</v>
      </c>
      <c r="E56" s="16">
        <v>655</v>
      </c>
      <c r="F56" s="1"/>
      <c r="G56" t="b">
        <f>IF(Links!$E$2="All Industries",TRUE,Links!$E$2=Data!B56)</f>
        <v>1</v>
      </c>
      <c r="H56" t="b">
        <f>IF(Links!$F$2="All Regions",TRUE,Links!$F$2=Data!C56)</f>
        <v>1</v>
      </c>
      <c r="I56" t="b">
        <f>IF(Links!$G$2="All Months",TRUE,Links!$G$2=Data!D56)</f>
        <v>1</v>
      </c>
      <c r="J56" t="b">
        <f t="shared" si="0"/>
        <v>1</v>
      </c>
      <c r="K56">
        <f>IF(J56,ROWS($J$2:J56),"")</f>
        <v>55</v>
      </c>
      <c r="L56" t="str">
        <f>IFERROR(SMALL($K$2:$K$101,ROWS($K$2:K56)),"")</f>
        <v/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5" customHeight="1" x14ac:dyDescent="0.3">
      <c r="A57" s="14" t="s">
        <v>192</v>
      </c>
      <c r="B57" s="14" t="s">
        <v>58</v>
      </c>
      <c r="C57" s="14" t="s">
        <v>238</v>
      </c>
      <c r="D57" s="15">
        <v>41803</v>
      </c>
      <c r="E57" s="16">
        <v>704</v>
      </c>
      <c r="F57" s="1"/>
      <c r="G57" t="b">
        <f>IF(Links!$E$2="All Industries",TRUE,Links!$E$2=Data!B57)</f>
        <v>1</v>
      </c>
      <c r="H57" t="b">
        <f>IF(Links!$F$2="All Regions",TRUE,Links!$F$2=Data!C57)</f>
        <v>1</v>
      </c>
      <c r="I57" t="b">
        <f>IF(Links!$G$2="All Months",TRUE,Links!$G$2=Data!D57)</f>
        <v>1</v>
      </c>
      <c r="J57" t="b">
        <f t="shared" si="0"/>
        <v>1</v>
      </c>
      <c r="K57">
        <f>IF(J57,ROWS($J$2:J57),"")</f>
        <v>56</v>
      </c>
      <c r="L57" t="str">
        <f>IFERROR(SMALL($K$2:$K$101,ROWS($K$2:K57)),"")</f>
        <v/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5" customHeight="1" x14ac:dyDescent="0.3">
      <c r="A58" s="14" t="s">
        <v>193</v>
      </c>
      <c r="B58" s="14" t="s">
        <v>237</v>
      </c>
      <c r="C58" s="14" t="s">
        <v>239</v>
      </c>
      <c r="D58" s="15">
        <v>41804</v>
      </c>
      <c r="E58" s="16">
        <v>313</v>
      </c>
      <c r="F58" s="1"/>
      <c r="G58" t="b">
        <f>IF(Links!$E$2="All Industries",TRUE,Links!$E$2=Data!B58)</f>
        <v>0</v>
      </c>
      <c r="H58" t="b">
        <f>IF(Links!$F$2="All Regions",TRUE,Links!$F$2=Data!C58)</f>
        <v>1</v>
      </c>
      <c r="I58" t="b">
        <f>IF(Links!$G$2="All Months",TRUE,Links!$G$2=Data!D58)</f>
        <v>1</v>
      </c>
      <c r="J58" t="b">
        <f t="shared" si="0"/>
        <v>0</v>
      </c>
      <c r="K58" t="str">
        <f>IF(J58,ROWS($J$2:J58),"")</f>
        <v/>
      </c>
      <c r="L58" t="str">
        <f>IFERROR(SMALL($K$2:$K$101,ROWS($K$2:K58)),"")</f>
        <v/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5" customHeight="1" x14ac:dyDescent="0.3">
      <c r="A59" s="14" t="s">
        <v>194</v>
      </c>
      <c r="B59" s="14" t="s">
        <v>21</v>
      </c>
      <c r="C59" s="14" t="s">
        <v>38</v>
      </c>
      <c r="D59" s="15">
        <v>41804</v>
      </c>
      <c r="E59" s="16">
        <v>656</v>
      </c>
      <c r="F59" s="1"/>
      <c r="G59" t="b">
        <f>IF(Links!$E$2="All Industries",TRUE,Links!$E$2=Data!B59)</f>
        <v>0</v>
      </c>
      <c r="H59" t="b">
        <f>IF(Links!$F$2="All Regions",TRUE,Links!$F$2=Data!C59)</f>
        <v>1</v>
      </c>
      <c r="I59" t="b">
        <f>IF(Links!$G$2="All Months",TRUE,Links!$G$2=Data!D59)</f>
        <v>1</v>
      </c>
      <c r="J59" t="b">
        <f t="shared" si="0"/>
        <v>0</v>
      </c>
      <c r="K59" t="str">
        <f>IF(J59,ROWS($J$2:J59),"")</f>
        <v/>
      </c>
      <c r="L59" t="str">
        <f>IFERROR(SMALL($K$2:$K$101,ROWS($K$2:K59)),"")</f>
        <v/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5" customHeight="1" x14ac:dyDescent="0.3">
      <c r="A60" s="14" t="s">
        <v>195</v>
      </c>
      <c r="B60" s="14" t="s">
        <v>52</v>
      </c>
      <c r="C60" s="14" t="s">
        <v>15</v>
      </c>
      <c r="D60" s="15">
        <v>41812</v>
      </c>
      <c r="E60" s="16">
        <v>665</v>
      </c>
      <c r="F60" s="1"/>
      <c r="G60" t="b">
        <f>IF(Links!$E$2="All Industries",TRUE,Links!$E$2=Data!B60)</f>
        <v>0</v>
      </c>
      <c r="H60" t="b">
        <f>IF(Links!$F$2="All Regions",TRUE,Links!$F$2=Data!C60)</f>
        <v>1</v>
      </c>
      <c r="I60" t="b">
        <f>IF(Links!$G$2="All Months",TRUE,Links!$G$2=Data!D60)</f>
        <v>1</v>
      </c>
      <c r="J60" t="b">
        <f t="shared" si="0"/>
        <v>0</v>
      </c>
      <c r="K60" t="str">
        <f>IF(J60,ROWS($J$2:J60),"")</f>
        <v/>
      </c>
      <c r="L60" t="str">
        <f>IFERROR(SMALL($K$2:$K$101,ROWS($K$2:K60)),"")</f>
        <v/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5" customHeight="1" x14ac:dyDescent="0.3">
      <c r="A61" s="14" t="s">
        <v>196</v>
      </c>
      <c r="B61" s="14" t="s">
        <v>52</v>
      </c>
      <c r="C61" s="14" t="s">
        <v>15</v>
      </c>
      <c r="D61" s="15">
        <v>41813</v>
      </c>
      <c r="E61" s="16">
        <v>646</v>
      </c>
      <c r="F61" s="1"/>
      <c r="G61" t="b">
        <f>IF(Links!$E$2="All Industries",TRUE,Links!$E$2=Data!B61)</f>
        <v>0</v>
      </c>
      <c r="H61" t="b">
        <f>IF(Links!$F$2="All Regions",TRUE,Links!$F$2=Data!C61)</f>
        <v>1</v>
      </c>
      <c r="I61" t="b">
        <f>IF(Links!$G$2="All Months",TRUE,Links!$G$2=Data!D61)</f>
        <v>1</v>
      </c>
      <c r="J61" t="b">
        <f t="shared" si="0"/>
        <v>0</v>
      </c>
      <c r="K61" t="str">
        <f>IF(J61,ROWS($J$2:J61),"")</f>
        <v/>
      </c>
      <c r="L61" t="str">
        <f>IFERROR(SMALL($K$2:$K$101,ROWS($K$2:K61)),"")</f>
        <v/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5" customHeight="1" x14ac:dyDescent="0.3">
      <c r="A62" s="14" t="s">
        <v>197</v>
      </c>
      <c r="B62" s="14" t="s">
        <v>37</v>
      </c>
      <c r="C62" s="14" t="s">
        <v>15</v>
      </c>
      <c r="D62" s="15">
        <v>41813</v>
      </c>
      <c r="E62" s="16">
        <v>153</v>
      </c>
      <c r="F62" s="1"/>
      <c r="G62" t="b">
        <f>IF(Links!$E$2="All Industries",TRUE,Links!$E$2=Data!B62)</f>
        <v>0</v>
      </c>
      <c r="H62" t="b">
        <f>IF(Links!$F$2="All Regions",TRUE,Links!$F$2=Data!C62)</f>
        <v>1</v>
      </c>
      <c r="I62" t="b">
        <f>IF(Links!$G$2="All Months",TRUE,Links!$G$2=Data!D62)</f>
        <v>1</v>
      </c>
      <c r="J62" t="b">
        <f t="shared" si="0"/>
        <v>0</v>
      </c>
      <c r="K62" t="str">
        <f>IF(J62,ROWS($J$2:J62),"")</f>
        <v/>
      </c>
      <c r="L62" t="str">
        <f>IFERROR(SMALL($K$2:$K$101,ROWS($K$2:K62)),"")</f>
        <v/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5" customHeight="1" x14ac:dyDescent="0.3">
      <c r="A63" s="14" t="s">
        <v>198</v>
      </c>
      <c r="B63" s="14" t="s">
        <v>21</v>
      </c>
      <c r="C63" s="14" t="s">
        <v>48</v>
      </c>
      <c r="D63" s="15">
        <v>41815</v>
      </c>
      <c r="E63" s="16">
        <v>963</v>
      </c>
      <c r="F63" s="1"/>
      <c r="G63" t="b">
        <f>IF(Links!$E$2="All Industries",TRUE,Links!$E$2=Data!B63)</f>
        <v>0</v>
      </c>
      <c r="H63" t="b">
        <f>IF(Links!$F$2="All Regions",TRUE,Links!$F$2=Data!C63)</f>
        <v>1</v>
      </c>
      <c r="I63" t="b">
        <f>IF(Links!$G$2="All Months",TRUE,Links!$G$2=Data!D63)</f>
        <v>1</v>
      </c>
      <c r="J63" t="b">
        <f t="shared" si="0"/>
        <v>0</v>
      </c>
      <c r="K63" t="str">
        <f>IF(J63,ROWS($J$2:J63),"")</f>
        <v/>
      </c>
      <c r="L63" t="str">
        <f>IFERROR(SMALL($K$2:$K$101,ROWS($K$2:K63)),"")</f>
        <v/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5" customHeight="1" x14ac:dyDescent="0.3">
      <c r="A64" s="14" t="s">
        <v>199</v>
      </c>
      <c r="B64" s="14" t="s">
        <v>58</v>
      </c>
      <c r="C64" s="14" t="s">
        <v>239</v>
      </c>
      <c r="D64" s="15">
        <v>41817</v>
      </c>
      <c r="E64" s="16">
        <v>975</v>
      </c>
      <c r="F64" s="1"/>
      <c r="G64" t="b">
        <f>IF(Links!$E$2="All Industries",TRUE,Links!$E$2=Data!B64)</f>
        <v>1</v>
      </c>
      <c r="H64" t="b">
        <f>IF(Links!$F$2="All Regions",TRUE,Links!$F$2=Data!C64)</f>
        <v>1</v>
      </c>
      <c r="I64" t="b">
        <f>IF(Links!$G$2="All Months",TRUE,Links!$G$2=Data!D64)</f>
        <v>1</v>
      </c>
      <c r="J64" t="b">
        <f t="shared" si="0"/>
        <v>1</v>
      </c>
      <c r="K64">
        <f>IF(J64,ROWS($J$2:J64),"")</f>
        <v>63</v>
      </c>
      <c r="L64" t="str">
        <f>IFERROR(SMALL($K$2:$K$101,ROWS($K$2:K64)),"")</f>
        <v/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5" customHeight="1" x14ac:dyDescent="0.3">
      <c r="A65" s="14" t="s">
        <v>200</v>
      </c>
      <c r="B65" s="14" t="s">
        <v>58</v>
      </c>
      <c r="C65" s="14" t="s">
        <v>48</v>
      </c>
      <c r="D65" s="15">
        <v>41821</v>
      </c>
      <c r="E65" s="16">
        <v>719</v>
      </c>
      <c r="F65" s="1"/>
      <c r="G65" t="b">
        <f>IF(Links!$E$2="All Industries",TRUE,Links!$E$2=Data!B65)</f>
        <v>1</v>
      </c>
      <c r="H65" t="b">
        <f>IF(Links!$F$2="All Regions",TRUE,Links!$F$2=Data!C65)</f>
        <v>1</v>
      </c>
      <c r="I65" t="b">
        <f>IF(Links!$G$2="All Months",TRUE,Links!$G$2=Data!D65)</f>
        <v>1</v>
      </c>
      <c r="J65" t="b">
        <f t="shared" si="0"/>
        <v>1</v>
      </c>
      <c r="K65">
        <f>IF(J65,ROWS($J$2:J65),"")</f>
        <v>64</v>
      </c>
      <c r="L65" t="str">
        <f>IFERROR(SMALL($K$2:$K$101,ROWS($K$2:K65)),"")</f>
        <v/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5" customHeight="1" x14ac:dyDescent="0.3">
      <c r="A66" s="14" t="s">
        <v>201</v>
      </c>
      <c r="B66" s="14" t="s">
        <v>21</v>
      </c>
      <c r="C66" s="14" t="s">
        <v>9</v>
      </c>
      <c r="D66" s="15">
        <v>41825</v>
      </c>
      <c r="E66" s="16">
        <v>661</v>
      </c>
      <c r="F66" s="1"/>
      <c r="G66" t="b">
        <f>IF(Links!$E$2="All Industries",TRUE,Links!$E$2=Data!B66)</f>
        <v>0</v>
      </c>
      <c r="H66" t="b">
        <f>IF(Links!$F$2="All Regions",TRUE,Links!$F$2=Data!C66)</f>
        <v>1</v>
      </c>
      <c r="I66" t="b">
        <f>IF(Links!$G$2="All Months",TRUE,Links!$G$2=Data!D66)</f>
        <v>1</v>
      </c>
      <c r="J66" t="b">
        <f t="shared" si="0"/>
        <v>0</v>
      </c>
      <c r="K66" t="str">
        <f>IF(J66,ROWS($J$2:J66),"")</f>
        <v/>
      </c>
      <c r="L66" t="str">
        <f>IFERROR(SMALL($K$2:$K$101,ROWS($K$2:K66)),"")</f>
        <v/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5" customHeight="1" x14ac:dyDescent="0.3">
      <c r="A67" s="14" t="s">
        <v>202</v>
      </c>
      <c r="B67" s="14" t="s">
        <v>52</v>
      </c>
      <c r="C67" s="14" t="s">
        <v>238</v>
      </c>
      <c r="D67" s="15">
        <v>41825</v>
      </c>
      <c r="E67" s="16">
        <v>192</v>
      </c>
      <c r="F67" s="1"/>
      <c r="G67" t="b">
        <f>IF(Links!$E$2="All Industries",TRUE,Links!$E$2=Data!B67)</f>
        <v>0</v>
      </c>
      <c r="H67" t="b">
        <f>IF(Links!$F$2="All Regions",TRUE,Links!$F$2=Data!C67)</f>
        <v>1</v>
      </c>
      <c r="I67" t="b">
        <f>IF(Links!$G$2="All Months",TRUE,Links!$G$2=Data!D67)</f>
        <v>1</v>
      </c>
      <c r="J67" t="b">
        <f t="shared" ref="J67:J101" si="1">AND(G67:I67)</f>
        <v>0</v>
      </c>
      <c r="K67" t="str">
        <f>IF(J67,ROWS($J$2:J67),"")</f>
        <v/>
      </c>
      <c r="L67" t="str">
        <f>IFERROR(SMALL($K$2:$K$101,ROWS($K$2:K67)),"")</f>
        <v/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5" customHeight="1" x14ac:dyDescent="0.3">
      <c r="A68" s="14" t="s">
        <v>203</v>
      </c>
      <c r="B68" s="14" t="s">
        <v>237</v>
      </c>
      <c r="C68" s="14" t="s">
        <v>15</v>
      </c>
      <c r="D68" s="15">
        <v>41828</v>
      </c>
      <c r="E68" s="16">
        <v>717</v>
      </c>
      <c r="F68" s="1"/>
      <c r="G68" t="b">
        <f>IF(Links!$E$2="All Industries",TRUE,Links!$E$2=Data!B68)</f>
        <v>0</v>
      </c>
      <c r="H68" t="b">
        <f>IF(Links!$F$2="All Regions",TRUE,Links!$F$2=Data!C68)</f>
        <v>1</v>
      </c>
      <c r="I68" t="b">
        <f>IF(Links!$G$2="All Months",TRUE,Links!$G$2=Data!D68)</f>
        <v>1</v>
      </c>
      <c r="J68" t="b">
        <f t="shared" si="1"/>
        <v>0</v>
      </c>
      <c r="K68" t="str">
        <f>IF(J68,ROWS($J$2:J68),"")</f>
        <v/>
      </c>
      <c r="L68" t="str">
        <f>IFERROR(SMALL($K$2:$K$101,ROWS($K$2:K68)),"")</f>
        <v/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5" customHeight="1" x14ac:dyDescent="0.3">
      <c r="A69" s="14" t="s">
        <v>204</v>
      </c>
      <c r="B69" s="14" t="s">
        <v>52</v>
      </c>
      <c r="C69" s="14" t="s">
        <v>239</v>
      </c>
      <c r="D69" s="15">
        <v>41829</v>
      </c>
      <c r="E69" s="16">
        <v>889</v>
      </c>
      <c r="F69" s="1"/>
      <c r="G69" t="b">
        <f>IF(Links!$E$2="All Industries",TRUE,Links!$E$2=Data!B69)</f>
        <v>0</v>
      </c>
      <c r="H69" t="b">
        <f>IF(Links!$F$2="All Regions",TRUE,Links!$F$2=Data!C69)</f>
        <v>1</v>
      </c>
      <c r="I69" t="b">
        <f>IF(Links!$G$2="All Months",TRUE,Links!$G$2=Data!D69)</f>
        <v>1</v>
      </c>
      <c r="J69" t="b">
        <f t="shared" si="1"/>
        <v>0</v>
      </c>
      <c r="K69" t="str">
        <f>IF(J69,ROWS($J$2:J69),"")</f>
        <v/>
      </c>
      <c r="L69" t="str">
        <f>IFERROR(SMALL($K$2:$K$101,ROWS($K$2:K69)),"")</f>
        <v/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5" customHeight="1" x14ac:dyDescent="0.3">
      <c r="A70" s="14" t="s">
        <v>205</v>
      </c>
      <c r="B70" s="14" t="s">
        <v>58</v>
      </c>
      <c r="C70" s="14" t="s">
        <v>238</v>
      </c>
      <c r="D70" s="15">
        <v>41832</v>
      </c>
      <c r="E70" s="16">
        <v>669</v>
      </c>
      <c r="F70" s="1"/>
      <c r="G70" t="b">
        <f>IF(Links!$E$2="All Industries",TRUE,Links!$E$2=Data!B70)</f>
        <v>1</v>
      </c>
      <c r="H70" t="b">
        <f>IF(Links!$F$2="All Regions",TRUE,Links!$F$2=Data!C70)</f>
        <v>1</v>
      </c>
      <c r="I70" t="b">
        <f>IF(Links!$G$2="All Months",TRUE,Links!$G$2=Data!D70)</f>
        <v>1</v>
      </c>
      <c r="J70" t="b">
        <f t="shared" si="1"/>
        <v>1</v>
      </c>
      <c r="K70">
        <f>IF(J70,ROWS($J$2:J70),"")</f>
        <v>69</v>
      </c>
      <c r="L70" t="str">
        <f>IFERROR(SMALL($K$2:$K$101,ROWS($K$2:K70)),"")</f>
        <v/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5" customHeight="1" x14ac:dyDescent="0.3">
      <c r="A71" s="14" t="s">
        <v>206</v>
      </c>
      <c r="B71" s="14" t="s">
        <v>21</v>
      </c>
      <c r="C71" s="14" t="s">
        <v>9</v>
      </c>
      <c r="D71" s="15">
        <v>41835</v>
      </c>
      <c r="E71" s="16">
        <v>551</v>
      </c>
      <c r="F71" s="1"/>
      <c r="G71" t="b">
        <f>IF(Links!$E$2="All Industries",TRUE,Links!$E$2=Data!B71)</f>
        <v>0</v>
      </c>
      <c r="H71" t="b">
        <f>IF(Links!$F$2="All Regions",TRUE,Links!$F$2=Data!C71)</f>
        <v>1</v>
      </c>
      <c r="I71" t="b">
        <f>IF(Links!$G$2="All Months",TRUE,Links!$G$2=Data!D71)</f>
        <v>1</v>
      </c>
      <c r="J71" t="b">
        <f t="shared" si="1"/>
        <v>0</v>
      </c>
      <c r="K71" t="str">
        <f>IF(J71,ROWS($J$2:J71),"")</f>
        <v/>
      </c>
      <c r="L71" t="str">
        <f>IFERROR(SMALL($K$2:$K$101,ROWS($K$2:K71)),"")</f>
        <v/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5" customHeight="1" x14ac:dyDescent="0.3">
      <c r="A72" s="14" t="s">
        <v>207</v>
      </c>
      <c r="B72" s="14" t="s">
        <v>237</v>
      </c>
      <c r="C72" s="14" t="s">
        <v>9</v>
      </c>
      <c r="D72" s="15">
        <v>41839</v>
      </c>
      <c r="E72" s="16">
        <v>421</v>
      </c>
      <c r="F72" s="1"/>
      <c r="G72" t="b">
        <f>IF(Links!$E$2="All Industries",TRUE,Links!$E$2=Data!B72)</f>
        <v>0</v>
      </c>
      <c r="H72" t="b">
        <f>IF(Links!$F$2="All Regions",TRUE,Links!$F$2=Data!C72)</f>
        <v>1</v>
      </c>
      <c r="I72" t="b">
        <f>IF(Links!$G$2="All Months",TRUE,Links!$G$2=Data!D72)</f>
        <v>1</v>
      </c>
      <c r="J72" t="b">
        <f t="shared" si="1"/>
        <v>0</v>
      </c>
      <c r="K72" t="str">
        <f>IF(J72,ROWS($J$2:J72),"")</f>
        <v/>
      </c>
      <c r="L72" t="str">
        <f>IFERROR(SMALL($K$2:$K$101,ROWS($K$2:K72)),"")</f>
        <v/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5" customHeight="1" x14ac:dyDescent="0.3">
      <c r="A73" s="14" t="s">
        <v>208</v>
      </c>
      <c r="B73" s="14" t="s">
        <v>52</v>
      </c>
      <c r="C73" s="14" t="s">
        <v>15</v>
      </c>
      <c r="D73" s="15">
        <v>41848</v>
      </c>
      <c r="E73" s="16">
        <v>468</v>
      </c>
      <c r="F73" s="1"/>
      <c r="G73" t="b">
        <f>IF(Links!$E$2="All Industries",TRUE,Links!$E$2=Data!B73)</f>
        <v>0</v>
      </c>
      <c r="H73" t="b">
        <f>IF(Links!$F$2="All Regions",TRUE,Links!$F$2=Data!C73)</f>
        <v>1</v>
      </c>
      <c r="I73" t="b">
        <f>IF(Links!$G$2="All Months",TRUE,Links!$G$2=Data!D73)</f>
        <v>1</v>
      </c>
      <c r="J73" t="b">
        <f t="shared" si="1"/>
        <v>0</v>
      </c>
      <c r="K73" t="str">
        <f>IF(J73,ROWS($J$2:J73),"")</f>
        <v/>
      </c>
      <c r="L73" t="str">
        <f>IFERROR(SMALL($K$2:$K$101,ROWS($K$2:K73)),"")</f>
        <v/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5" customHeight="1" x14ac:dyDescent="0.3">
      <c r="A74" s="14" t="s">
        <v>209</v>
      </c>
      <c r="B74" s="14" t="s">
        <v>37</v>
      </c>
      <c r="C74" s="14" t="s">
        <v>48</v>
      </c>
      <c r="D74" s="15">
        <v>41853</v>
      </c>
      <c r="E74" s="16">
        <v>800</v>
      </c>
      <c r="F74" s="1"/>
      <c r="G74" t="b">
        <f>IF(Links!$E$2="All Industries",TRUE,Links!$E$2=Data!B74)</f>
        <v>0</v>
      </c>
      <c r="H74" t="b">
        <f>IF(Links!$F$2="All Regions",TRUE,Links!$F$2=Data!C74)</f>
        <v>1</v>
      </c>
      <c r="I74" t="b">
        <f>IF(Links!$G$2="All Months",TRUE,Links!$G$2=Data!D74)</f>
        <v>1</v>
      </c>
      <c r="J74" t="b">
        <f t="shared" si="1"/>
        <v>0</v>
      </c>
      <c r="K74" t="str">
        <f>IF(J74,ROWS($J$2:J74),"")</f>
        <v/>
      </c>
      <c r="L74" t="str">
        <f>IFERROR(SMALL($K$2:$K$101,ROWS($K$2:K74)),"")</f>
        <v/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5" customHeight="1" x14ac:dyDescent="0.3">
      <c r="A75" s="14" t="s">
        <v>210</v>
      </c>
      <c r="B75" s="14" t="s">
        <v>37</v>
      </c>
      <c r="C75" s="14" t="s">
        <v>238</v>
      </c>
      <c r="D75" s="15">
        <v>41853</v>
      </c>
      <c r="E75" s="16">
        <v>247</v>
      </c>
      <c r="F75" s="1"/>
      <c r="G75" t="b">
        <f>IF(Links!$E$2="All Industries",TRUE,Links!$E$2=Data!B75)</f>
        <v>0</v>
      </c>
      <c r="H75" t="b">
        <f>IF(Links!$F$2="All Regions",TRUE,Links!$F$2=Data!C75)</f>
        <v>1</v>
      </c>
      <c r="I75" t="b">
        <f>IF(Links!$G$2="All Months",TRUE,Links!$G$2=Data!D75)</f>
        <v>1</v>
      </c>
      <c r="J75" t="b">
        <f t="shared" si="1"/>
        <v>0</v>
      </c>
      <c r="K75" t="str">
        <f>IF(J75,ROWS($J$2:J75),"")</f>
        <v/>
      </c>
      <c r="L75" t="str">
        <f>IFERROR(SMALL($K$2:$K$101,ROWS($K$2:K75)),"")</f>
        <v/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5" customHeight="1" x14ac:dyDescent="0.3">
      <c r="A76" s="14" t="s">
        <v>211</v>
      </c>
      <c r="B76" s="14" t="s">
        <v>58</v>
      </c>
      <c r="C76" s="14" t="s">
        <v>15</v>
      </c>
      <c r="D76" s="15">
        <v>41857</v>
      </c>
      <c r="E76" s="16">
        <v>178</v>
      </c>
      <c r="F76" s="1"/>
      <c r="G76" t="b">
        <f>IF(Links!$E$2="All Industries",TRUE,Links!$E$2=Data!B76)</f>
        <v>1</v>
      </c>
      <c r="H76" t="b">
        <f>IF(Links!$F$2="All Regions",TRUE,Links!$F$2=Data!C76)</f>
        <v>1</v>
      </c>
      <c r="I76" t="b">
        <f>IF(Links!$G$2="All Months",TRUE,Links!$G$2=Data!D76)</f>
        <v>1</v>
      </c>
      <c r="J76" t="b">
        <f t="shared" si="1"/>
        <v>1</v>
      </c>
      <c r="K76">
        <f>IF(J76,ROWS($J$2:J76),"")</f>
        <v>75</v>
      </c>
      <c r="L76" t="str">
        <f>IFERROR(SMALL($K$2:$K$101,ROWS($K$2:K76)),"")</f>
        <v/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5" customHeight="1" x14ac:dyDescent="0.3">
      <c r="A77" s="14" t="s">
        <v>212</v>
      </c>
      <c r="B77" s="14" t="s">
        <v>58</v>
      </c>
      <c r="C77" s="14" t="s">
        <v>48</v>
      </c>
      <c r="D77" s="15">
        <v>41861</v>
      </c>
      <c r="E77" s="16">
        <v>848</v>
      </c>
      <c r="F77" s="1"/>
      <c r="G77" t="b">
        <f>IF(Links!$E$2="All Industries",TRUE,Links!$E$2=Data!B77)</f>
        <v>1</v>
      </c>
      <c r="H77" t="b">
        <f>IF(Links!$F$2="All Regions",TRUE,Links!$F$2=Data!C77)</f>
        <v>1</v>
      </c>
      <c r="I77" t="b">
        <f>IF(Links!$G$2="All Months",TRUE,Links!$G$2=Data!D77)</f>
        <v>1</v>
      </c>
      <c r="J77" t="b">
        <f t="shared" si="1"/>
        <v>1</v>
      </c>
      <c r="K77">
        <f>IF(J77,ROWS($J$2:J77),"")</f>
        <v>76</v>
      </c>
      <c r="L77" t="str">
        <f>IFERROR(SMALL($K$2:$K$101,ROWS($K$2:K77)),"")</f>
        <v/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5" customHeight="1" x14ac:dyDescent="0.3">
      <c r="A78" s="14" t="s">
        <v>213</v>
      </c>
      <c r="B78" s="14" t="s">
        <v>58</v>
      </c>
      <c r="C78" s="14" t="s">
        <v>15</v>
      </c>
      <c r="D78" s="15">
        <v>41870</v>
      </c>
      <c r="E78" s="16">
        <v>259</v>
      </c>
      <c r="F78" s="1"/>
      <c r="G78" t="b">
        <f>IF(Links!$E$2="All Industries",TRUE,Links!$E$2=Data!B78)</f>
        <v>1</v>
      </c>
      <c r="H78" t="b">
        <f>IF(Links!$F$2="All Regions",TRUE,Links!$F$2=Data!C78)</f>
        <v>1</v>
      </c>
      <c r="I78" t="b">
        <f>IF(Links!$G$2="All Months",TRUE,Links!$G$2=Data!D78)</f>
        <v>1</v>
      </c>
      <c r="J78" t="b">
        <f t="shared" si="1"/>
        <v>1</v>
      </c>
      <c r="K78">
        <f>IF(J78,ROWS($J$2:J78),"")</f>
        <v>77</v>
      </c>
      <c r="L78" t="str">
        <f>IFERROR(SMALL($K$2:$K$101,ROWS($K$2:K78)),"")</f>
        <v/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5" customHeight="1" x14ac:dyDescent="0.3">
      <c r="A79" s="14" t="s">
        <v>214</v>
      </c>
      <c r="B79" s="14" t="s">
        <v>37</v>
      </c>
      <c r="C79" s="14" t="s">
        <v>48</v>
      </c>
      <c r="D79" s="15">
        <v>41870</v>
      </c>
      <c r="E79" s="16">
        <v>598</v>
      </c>
      <c r="F79" s="1"/>
      <c r="G79" t="b">
        <f>IF(Links!$E$2="All Industries",TRUE,Links!$E$2=Data!B79)</f>
        <v>0</v>
      </c>
      <c r="H79" t="b">
        <f>IF(Links!$F$2="All Regions",TRUE,Links!$F$2=Data!C79)</f>
        <v>1</v>
      </c>
      <c r="I79" t="b">
        <f>IF(Links!$G$2="All Months",TRUE,Links!$G$2=Data!D79)</f>
        <v>1</v>
      </c>
      <c r="J79" t="b">
        <f t="shared" si="1"/>
        <v>0</v>
      </c>
      <c r="K79" t="str">
        <f>IF(J79,ROWS($J$2:J79),"")</f>
        <v/>
      </c>
      <c r="L79" t="str">
        <f>IFERROR(SMALL($K$2:$K$101,ROWS($K$2:K79)),"")</f>
        <v/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5" customHeight="1" x14ac:dyDescent="0.3">
      <c r="A80" s="14" t="s">
        <v>215</v>
      </c>
      <c r="B80" s="14" t="s">
        <v>21</v>
      </c>
      <c r="C80" s="14" t="s">
        <v>38</v>
      </c>
      <c r="D80" s="15">
        <v>41872</v>
      </c>
      <c r="E80" s="16">
        <v>522</v>
      </c>
      <c r="F80" s="1"/>
      <c r="G80" t="b">
        <f>IF(Links!$E$2="All Industries",TRUE,Links!$E$2=Data!B80)</f>
        <v>0</v>
      </c>
      <c r="H80" t="b">
        <f>IF(Links!$F$2="All Regions",TRUE,Links!$F$2=Data!C80)</f>
        <v>1</v>
      </c>
      <c r="I80" t="b">
        <f>IF(Links!$G$2="All Months",TRUE,Links!$G$2=Data!D80)</f>
        <v>1</v>
      </c>
      <c r="J80" t="b">
        <f t="shared" si="1"/>
        <v>0</v>
      </c>
      <c r="K80" t="str">
        <f>IF(J80,ROWS($J$2:J80),"")</f>
        <v/>
      </c>
      <c r="L80" t="str">
        <f>IFERROR(SMALL($K$2:$K$101,ROWS($K$2:K80)),"")</f>
        <v/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5" customHeight="1" x14ac:dyDescent="0.3">
      <c r="A81" s="14" t="s">
        <v>216</v>
      </c>
      <c r="B81" s="14" t="s">
        <v>237</v>
      </c>
      <c r="C81" s="14" t="s">
        <v>38</v>
      </c>
      <c r="D81" s="15">
        <v>41875</v>
      </c>
      <c r="E81" s="16">
        <v>139</v>
      </c>
      <c r="F81" s="1"/>
      <c r="G81" t="b">
        <f>IF(Links!$E$2="All Industries",TRUE,Links!$E$2=Data!B81)</f>
        <v>0</v>
      </c>
      <c r="H81" t="b">
        <f>IF(Links!$F$2="All Regions",TRUE,Links!$F$2=Data!C81)</f>
        <v>1</v>
      </c>
      <c r="I81" t="b">
        <f>IF(Links!$G$2="All Months",TRUE,Links!$G$2=Data!D81)</f>
        <v>1</v>
      </c>
      <c r="J81" t="b">
        <f t="shared" si="1"/>
        <v>0</v>
      </c>
      <c r="K81" t="str">
        <f>IF(J81,ROWS($J$2:J81),"")</f>
        <v/>
      </c>
      <c r="L81" t="str">
        <f>IFERROR(SMALL($K$2:$K$101,ROWS($K$2:K81)),"")</f>
        <v/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5" customHeight="1" x14ac:dyDescent="0.3">
      <c r="A82" s="14" t="s">
        <v>217</v>
      </c>
      <c r="B82" s="14" t="s">
        <v>58</v>
      </c>
      <c r="C82" s="14" t="s">
        <v>22</v>
      </c>
      <c r="D82" s="15">
        <v>41880</v>
      </c>
      <c r="E82" s="16">
        <v>194</v>
      </c>
      <c r="F82" s="1"/>
      <c r="G82" t="b">
        <f>IF(Links!$E$2="All Industries",TRUE,Links!$E$2=Data!B82)</f>
        <v>1</v>
      </c>
      <c r="H82" t="b">
        <f>IF(Links!$F$2="All Regions",TRUE,Links!$F$2=Data!C82)</f>
        <v>1</v>
      </c>
      <c r="I82" t="b">
        <f>IF(Links!$G$2="All Months",TRUE,Links!$G$2=Data!D82)</f>
        <v>1</v>
      </c>
      <c r="J82" t="b">
        <f t="shared" si="1"/>
        <v>1</v>
      </c>
      <c r="K82">
        <f>IF(J82,ROWS($J$2:J82),"")</f>
        <v>81</v>
      </c>
      <c r="L82" t="str">
        <f>IFERROR(SMALL($K$2:$K$101,ROWS($K$2:K82)),"")</f>
        <v/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5" customHeight="1" x14ac:dyDescent="0.3">
      <c r="A83" s="14" t="s">
        <v>218</v>
      </c>
      <c r="B83" s="14" t="s">
        <v>58</v>
      </c>
      <c r="C83" s="14" t="s">
        <v>22</v>
      </c>
      <c r="D83" s="15">
        <v>41889</v>
      </c>
      <c r="E83" s="16">
        <v>746</v>
      </c>
      <c r="F83" s="1"/>
      <c r="G83" t="b">
        <f>IF(Links!$E$2="All Industries",TRUE,Links!$E$2=Data!B83)</f>
        <v>1</v>
      </c>
      <c r="H83" t="b">
        <f>IF(Links!$F$2="All Regions",TRUE,Links!$F$2=Data!C83)</f>
        <v>1</v>
      </c>
      <c r="I83" t="b">
        <f>IF(Links!$G$2="All Months",TRUE,Links!$G$2=Data!D83)</f>
        <v>1</v>
      </c>
      <c r="J83" t="b">
        <f t="shared" si="1"/>
        <v>1</v>
      </c>
      <c r="K83">
        <f>IF(J83,ROWS($J$2:J83),"")</f>
        <v>82</v>
      </c>
      <c r="L83" t="str">
        <f>IFERROR(SMALL($K$2:$K$101,ROWS($K$2:K83)),"")</f>
        <v/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5" customHeight="1" x14ac:dyDescent="0.3">
      <c r="A84" s="14" t="s">
        <v>219</v>
      </c>
      <c r="B84" s="14" t="s">
        <v>237</v>
      </c>
      <c r="C84" s="14" t="s">
        <v>9</v>
      </c>
      <c r="D84" s="15">
        <v>41890</v>
      </c>
      <c r="E84" s="16">
        <v>292</v>
      </c>
      <c r="F84" s="1"/>
      <c r="G84" t="b">
        <f>IF(Links!$E$2="All Industries",TRUE,Links!$E$2=Data!B84)</f>
        <v>0</v>
      </c>
      <c r="H84" t="b">
        <f>IF(Links!$F$2="All Regions",TRUE,Links!$F$2=Data!C84)</f>
        <v>1</v>
      </c>
      <c r="I84" t="b">
        <f>IF(Links!$G$2="All Months",TRUE,Links!$G$2=Data!D84)</f>
        <v>1</v>
      </c>
      <c r="J84" t="b">
        <f t="shared" si="1"/>
        <v>0</v>
      </c>
      <c r="K84" t="str">
        <f>IF(J84,ROWS($J$2:J84),"")</f>
        <v/>
      </c>
      <c r="L84" t="str">
        <f>IFERROR(SMALL($K$2:$K$101,ROWS($K$2:K84)),"")</f>
        <v/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5" customHeight="1" x14ac:dyDescent="0.3">
      <c r="A85" s="14" t="s">
        <v>220</v>
      </c>
      <c r="B85" s="14" t="s">
        <v>237</v>
      </c>
      <c r="C85" s="14" t="s">
        <v>22</v>
      </c>
      <c r="D85" s="15">
        <v>41892</v>
      </c>
      <c r="E85" s="16">
        <v>883</v>
      </c>
      <c r="F85" s="1"/>
      <c r="G85" t="b">
        <f>IF(Links!$E$2="All Industries",TRUE,Links!$E$2=Data!B85)</f>
        <v>0</v>
      </c>
      <c r="H85" t="b">
        <f>IF(Links!$F$2="All Regions",TRUE,Links!$F$2=Data!C85)</f>
        <v>1</v>
      </c>
      <c r="I85" t="b">
        <f>IF(Links!$G$2="All Months",TRUE,Links!$G$2=Data!D85)</f>
        <v>1</v>
      </c>
      <c r="J85" t="b">
        <f t="shared" si="1"/>
        <v>0</v>
      </c>
      <c r="K85" t="str">
        <f>IF(J85,ROWS($J$2:J85),"")</f>
        <v/>
      </c>
      <c r="L85" t="str">
        <f>IFERROR(SMALL($K$2:$K$101,ROWS($K$2:K85)),"")</f>
        <v/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5" customHeight="1" x14ac:dyDescent="0.3">
      <c r="A86" s="14" t="s">
        <v>221</v>
      </c>
      <c r="B86" s="14" t="s">
        <v>58</v>
      </c>
      <c r="C86" s="14" t="s">
        <v>38</v>
      </c>
      <c r="D86" s="15">
        <v>41905</v>
      </c>
      <c r="E86" s="16">
        <v>641</v>
      </c>
      <c r="F86" s="1"/>
      <c r="G86" t="b">
        <f>IF(Links!$E$2="All Industries",TRUE,Links!$E$2=Data!B86)</f>
        <v>1</v>
      </c>
      <c r="H86" t="b">
        <f>IF(Links!$F$2="All Regions",TRUE,Links!$F$2=Data!C86)</f>
        <v>1</v>
      </c>
      <c r="I86" t="b">
        <f>IF(Links!$G$2="All Months",TRUE,Links!$G$2=Data!D86)</f>
        <v>1</v>
      </c>
      <c r="J86" t="b">
        <f t="shared" si="1"/>
        <v>1</v>
      </c>
      <c r="K86">
        <f>IF(J86,ROWS($J$2:J86),"")</f>
        <v>85</v>
      </c>
      <c r="L86" t="str">
        <f>IFERROR(SMALL($K$2:$K$101,ROWS($K$2:K86)),"")</f>
        <v/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5" customHeight="1" x14ac:dyDescent="0.3">
      <c r="A87" s="14" t="s">
        <v>222</v>
      </c>
      <c r="B87" s="14" t="s">
        <v>58</v>
      </c>
      <c r="C87" s="14" t="s">
        <v>15</v>
      </c>
      <c r="D87" s="15">
        <v>41908</v>
      </c>
      <c r="E87" s="16">
        <v>196</v>
      </c>
      <c r="F87" s="1"/>
      <c r="G87" t="b">
        <f>IF(Links!$E$2="All Industries",TRUE,Links!$E$2=Data!B87)</f>
        <v>1</v>
      </c>
      <c r="H87" t="b">
        <f>IF(Links!$F$2="All Regions",TRUE,Links!$F$2=Data!C87)</f>
        <v>1</v>
      </c>
      <c r="I87" t="b">
        <f>IF(Links!$G$2="All Months",TRUE,Links!$G$2=Data!D87)</f>
        <v>1</v>
      </c>
      <c r="J87" t="b">
        <f t="shared" si="1"/>
        <v>1</v>
      </c>
      <c r="K87">
        <f>IF(J87,ROWS($J$2:J87),"")</f>
        <v>86</v>
      </c>
      <c r="L87" t="str">
        <f>IFERROR(SMALL($K$2:$K$101,ROWS($K$2:K87)),"")</f>
        <v/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5" customHeight="1" x14ac:dyDescent="0.3">
      <c r="A88" s="14" t="s">
        <v>223</v>
      </c>
      <c r="B88" s="14" t="s">
        <v>237</v>
      </c>
      <c r="C88" s="14" t="s">
        <v>48</v>
      </c>
      <c r="D88" s="15">
        <v>41915</v>
      </c>
      <c r="E88" s="16">
        <v>845</v>
      </c>
      <c r="F88" s="1"/>
      <c r="G88" t="b">
        <f>IF(Links!$E$2="All Industries",TRUE,Links!$E$2=Data!B88)</f>
        <v>0</v>
      </c>
      <c r="H88" t="b">
        <f>IF(Links!$F$2="All Regions",TRUE,Links!$F$2=Data!C88)</f>
        <v>1</v>
      </c>
      <c r="I88" t="b">
        <f>IF(Links!$G$2="All Months",TRUE,Links!$G$2=Data!D88)</f>
        <v>1</v>
      </c>
      <c r="J88" t="b">
        <f t="shared" si="1"/>
        <v>0</v>
      </c>
      <c r="K88" t="str">
        <f>IF(J88,ROWS($J$2:J88),"")</f>
        <v/>
      </c>
      <c r="L88" t="str">
        <f>IFERROR(SMALL($K$2:$K$101,ROWS($K$2:K88)),"")</f>
        <v/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5" customHeight="1" x14ac:dyDescent="0.3">
      <c r="A89" s="14" t="s">
        <v>224</v>
      </c>
      <c r="B89" s="14" t="s">
        <v>21</v>
      </c>
      <c r="C89" s="14" t="s">
        <v>15</v>
      </c>
      <c r="D89" s="15">
        <v>41943</v>
      </c>
      <c r="E89" s="16">
        <v>248</v>
      </c>
      <c r="F89" s="1"/>
      <c r="G89" t="b">
        <f>IF(Links!$E$2="All Industries",TRUE,Links!$E$2=Data!B89)</f>
        <v>0</v>
      </c>
      <c r="H89" t="b">
        <f>IF(Links!$F$2="All Regions",TRUE,Links!$F$2=Data!C89)</f>
        <v>1</v>
      </c>
      <c r="I89" t="b">
        <f>IF(Links!$G$2="All Months",TRUE,Links!$G$2=Data!D89)</f>
        <v>1</v>
      </c>
      <c r="J89" t="b">
        <f t="shared" si="1"/>
        <v>0</v>
      </c>
      <c r="K89" t="str">
        <f>IF(J89,ROWS($J$2:J89),"")</f>
        <v/>
      </c>
      <c r="L89" t="str">
        <f>IFERROR(SMALL($K$2:$K$101,ROWS($K$2:K89)),"")</f>
        <v/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" customHeight="1" x14ac:dyDescent="0.3">
      <c r="A90" s="14" t="s">
        <v>225</v>
      </c>
      <c r="B90" s="14" t="s">
        <v>58</v>
      </c>
      <c r="C90" s="14" t="s">
        <v>238</v>
      </c>
      <c r="D90" s="15">
        <v>41945</v>
      </c>
      <c r="E90" s="16">
        <v>940</v>
      </c>
      <c r="F90" s="1"/>
      <c r="G90" t="b">
        <f>IF(Links!$E$2="All Industries",TRUE,Links!$E$2=Data!B90)</f>
        <v>1</v>
      </c>
      <c r="H90" t="b">
        <f>IF(Links!$F$2="All Regions",TRUE,Links!$F$2=Data!C90)</f>
        <v>1</v>
      </c>
      <c r="I90" t="b">
        <f>IF(Links!$G$2="All Months",TRUE,Links!$G$2=Data!D90)</f>
        <v>1</v>
      </c>
      <c r="J90" t="b">
        <f t="shared" si="1"/>
        <v>1</v>
      </c>
      <c r="K90">
        <f>IF(J90,ROWS($J$2:J90),"")</f>
        <v>89</v>
      </c>
      <c r="L90" t="str">
        <f>IFERROR(SMALL($K$2:$K$101,ROWS($K$2:K90)),"")</f>
        <v/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5" customHeight="1" x14ac:dyDescent="0.3">
      <c r="A91" s="14" t="s">
        <v>226</v>
      </c>
      <c r="B91" s="14" t="s">
        <v>237</v>
      </c>
      <c r="C91" s="14" t="s">
        <v>9</v>
      </c>
      <c r="D91" s="15">
        <v>41947</v>
      </c>
      <c r="E91" s="16">
        <v>645</v>
      </c>
      <c r="F91" s="1"/>
      <c r="G91" t="b">
        <f>IF(Links!$E$2="All Industries",TRUE,Links!$E$2=Data!B91)</f>
        <v>0</v>
      </c>
      <c r="H91" t="b">
        <f>IF(Links!$F$2="All Regions",TRUE,Links!$F$2=Data!C91)</f>
        <v>1</v>
      </c>
      <c r="I91" t="b">
        <f>IF(Links!$G$2="All Months",TRUE,Links!$G$2=Data!D91)</f>
        <v>1</v>
      </c>
      <c r="J91" t="b">
        <f t="shared" si="1"/>
        <v>0</v>
      </c>
      <c r="K91" t="str">
        <f>IF(J91,ROWS($J$2:J91),"")</f>
        <v/>
      </c>
      <c r="L91" t="str">
        <f>IFERROR(SMALL($K$2:$K$101,ROWS($K$2:K91)),"")</f>
        <v/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5" customHeight="1" x14ac:dyDescent="0.3">
      <c r="A92" s="14" t="s">
        <v>227</v>
      </c>
      <c r="B92" s="14" t="s">
        <v>237</v>
      </c>
      <c r="C92" s="14" t="s">
        <v>9</v>
      </c>
      <c r="D92" s="15">
        <v>41948</v>
      </c>
      <c r="E92" s="16">
        <v>354</v>
      </c>
      <c r="F92" s="1"/>
      <c r="G92" t="b">
        <f>IF(Links!$E$2="All Industries",TRUE,Links!$E$2=Data!B92)</f>
        <v>0</v>
      </c>
      <c r="H92" t="b">
        <f>IF(Links!$F$2="All Regions",TRUE,Links!$F$2=Data!C92)</f>
        <v>1</v>
      </c>
      <c r="I92" t="b">
        <f>IF(Links!$G$2="All Months",TRUE,Links!$G$2=Data!D92)</f>
        <v>1</v>
      </c>
      <c r="J92" t="b">
        <f t="shared" si="1"/>
        <v>0</v>
      </c>
      <c r="K92" t="str">
        <f>IF(J92,ROWS($J$2:J92),"")</f>
        <v/>
      </c>
      <c r="L92" t="str">
        <f>IFERROR(SMALL($K$2:$K$101,ROWS($K$2:K92)),"")</f>
        <v/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5" customHeight="1" x14ac:dyDescent="0.3">
      <c r="A93" s="14" t="s">
        <v>228</v>
      </c>
      <c r="B93" s="14" t="s">
        <v>52</v>
      </c>
      <c r="C93" s="14" t="s">
        <v>38</v>
      </c>
      <c r="D93" s="15">
        <v>41949</v>
      </c>
      <c r="E93" s="16">
        <v>710</v>
      </c>
      <c r="F93" s="1"/>
      <c r="G93" t="b">
        <f>IF(Links!$E$2="All Industries",TRUE,Links!$E$2=Data!B93)</f>
        <v>0</v>
      </c>
      <c r="H93" t="b">
        <f>IF(Links!$F$2="All Regions",TRUE,Links!$F$2=Data!C93)</f>
        <v>1</v>
      </c>
      <c r="I93" t="b">
        <f>IF(Links!$G$2="All Months",TRUE,Links!$G$2=Data!D93)</f>
        <v>1</v>
      </c>
      <c r="J93" t="b">
        <f t="shared" si="1"/>
        <v>0</v>
      </c>
      <c r="K93" t="str">
        <f>IF(J93,ROWS($J$2:J93),"")</f>
        <v/>
      </c>
      <c r="L93" t="str">
        <f>IFERROR(SMALL($K$2:$K$101,ROWS($K$2:K93)),"")</f>
        <v/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5" customHeight="1" x14ac:dyDescent="0.3">
      <c r="A94" s="14" t="s">
        <v>229</v>
      </c>
      <c r="B94" s="14" t="s">
        <v>37</v>
      </c>
      <c r="C94" s="14" t="s">
        <v>238</v>
      </c>
      <c r="D94" s="15">
        <v>41951</v>
      </c>
      <c r="E94" s="16">
        <v>984</v>
      </c>
      <c r="F94" s="1"/>
      <c r="G94" t="b">
        <f>IF(Links!$E$2="All Industries",TRUE,Links!$E$2=Data!B94)</f>
        <v>0</v>
      </c>
      <c r="H94" t="b">
        <f>IF(Links!$F$2="All Regions",TRUE,Links!$F$2=Data!C94)</f>
        <v>1</v>
      </c>
      <c r="I94" t="b">
        <f>IF(Links!$G$2="All Months",TRUE,Links!$G$2=Data!D94)</f>
        <v>1</v>
      </c>
      <c r="J94" t="b">
        <f t="shared" si="1"/>
        <v>0</v>
      </c>
      <c r="K94" t="str">
        <f>IF(J94,ROWS($J$2:J94),"")</f>
        <v/>
      </c>
      <c r="L94" t="str">
        <f>IFERROR(SMALL($K$2:$K$101,ROWS($K$2:K94)),"")</f>
        <v/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5" customHeight="1" x14ac:dyDescent="0.3">
      <c r="A95" s="14" t="s">
        <v>230</v>
      </c>
      <c r="B95" s="14" t="s">
        <v>37</v>
      </c>
      <c r="C95" s="14" t="s">
        <v>48</v>
      </c>
      <c r="D95" s="15">
        <v>41952</v>
      </c>
      <c r="E95" s="16">
        <v>533</v>
      </c>
      <c r="F95" s="1"/>
      <c r="G95" t="b">
        <f>IF(Links!$E$2="All Industries",TRUE,Links!$E$2=Data!B95)</f>
        <v>0</v>
      </c>
      <c r="H95" t="b">
        <f>IF(Links!$F$2="All Regions",TRUE,Links!$F$2=Data!C95)</f>
        <v>1</v>
      </c>
      <c r="I95" t="b">
        <f>IF(Links!$G$2="All Months",TRUE,Links!$G$2=Data!D95)</f>
        <v>1</v>
      </c>
      <c r="J95" t="b">
        <f t="shared" si="1"/>
        <v>0</v>
      </c>
      <c r="K95" t="str">
        <f>IF(J95,ROWS($J$2:J95),"")</f>
        <v/>
      </c>
      <c r="L95" t="str">
        <f>IFERROR(SMALL($K$2:$K$101,ROWS($K$2:K95)),"")</f>
        <v/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5" customHeight="1" x14ac:dyDescent="0.3">
      <c r="A96" s="14" t="s">
        <v>231</v>
      </c>
      <c r="B96" s="14" t="s">
        <v>37</v>
      </c>
      <c r="C96" s="14" t="s">
        <v>239</v>
      </c>
      <c r="D96" s="15">
        <v>41953</v>
      </c>
      <c r="E96" s="16">
        <v>780</v>
      </c>
      <c r="F96" s="1"/>
      <c r="G96" t="b">
        <f>IF(Links!$E$2="All Industries",TRUE,Links!$E$2=Data!B96)</f>
        <v>0</v>
      </c>
      <c r="H96" t="b">
        <f>IF(Links!$F$2="All Regions",TRUE,Links!$F$2=Data!C96)</f>
        <v>1</v>
      </c>
      <c r="I96" t="b">
        <f>IF(Links!$G$2="All Months",TRUE,Links!$G$2=Data!D96)</f>
        <v>1</v>
      </c>
      <c r="J96" t="b">
        <f t="shared" si="1"/>
        <v>0</v>
      </c>
      <c r="K96" t="str">
        <f>IF(J96,ROWS($J$2:J96),"")</f>
        <v/>
      </c>
      <c r="L96" t="str">
        <f>IFERROR(SMALL($K$2:$K$101,ROWS($K$2:K96)),"")</f>
        <v/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5" customHeight="1" x14ac:dyDescent="0.3">
      <c r="A97" s="14" t="s">
        <v>232</v>
      </c>
      <c r="B97" s="14" t="s">
        <v>37</v>
      </c>
      <c r="C97" s="14" t="s">
        <v>239</v>
      </c>
      <c r="D97" s="15">
        <v>41954</v>
      </c>
      <c r="E97" s="16">
        <v>702</v>
      </c>
      <c r="F97" s="1"/>
      <c r="G97" t="b">
        <f>IF(Links!$E$2="All Industries",TRUE,Links!$E$2=Data!B97)</f>
        <v>0</v>
      </c>
      <c r="H97" t="b">
        <f>IF(Links!$F$2="All Regions",TRUE,Links!$F$2=Data!C97)</f>
        <v>1</v>
      </c>
      <c r="I97" t="b">
        <f>IF(Links!$G$2="All Months",TRUE,Links!$G$2=Data!D97)</f>
        <v>1</v>
      </c>
      <c r="J97" t="b">
        <f t="shared" si="1"/>
        <v>0</v>
      </c>
      <c r="K97" t="str">
        <f>IF(J97,ROWS($J$2:J97),"")</f>
        <v/>
      </c>
      <c r="L97" t="str">
        <f>IFERROR(SMALL($K$2:$K$101,ROWS($K$2:K97)),"")</f>
        <v/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5" customHeight="1" x14ac:dyDescent="0.3">
      <c r="A98" s="14" t="s">
        <v>233</v>
      </c>
      <c r="B98" s="14" t="s">
        <v>237</v>
      </c>
      <c r="C98" s="14" t="s">
        <v>15</v>
      </c>
      <c r="D98" s="15">
        <v>41972</v>
      </c>
      <c r="E98" s="16">
        <v>818</v>
      </c>
      <c r="F98" s="1"/>
      <c r="G98" t="b">
        <f>IF(Links!$E$2="All Industries",TRUE,Links!$E$2=Data!B98)</f>
        <v>0</v>
      </c>
      <c r="H98" t="b">
        <f>IF(Links!$F$2="All Regions",TRUE,Links!$F$2=Data!C98)</f>
        <v>1</v>
      </c>
      <c r="I98" t="b">
        <f>IF(Links!$G$2="All Months",TRUE,Links!$G$2=Data!D98)</f>
        <v>1</v>
      </c>
      <c r="J98" t="b">
        <f t="shared" si="1"/>
        <v>0</v>
      </c>
      <c r="K98" t="str">
        <f>IF(J98,ROWS($J$2:J98),"")</f>
        <v/>
      </c>
      <c r="L98" t="str">
        <f>IFERROR(SMALL($K$2:$K$101,ROWS($K$2:K98)),"")</f>
        <v/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5" customHeight="1" x14ac:dyDescent="0.3">
      <c r="A99" s="14" t="s">
        <v>234</v>
      </c>
      <c r="B99" s="14" t="s">
        <v>52</v>
      </c>
      <c r="C99" s="14" t="s">
        <v>15</v>
      </c>
      <c r="D99" s="15">
        <v>41975</v>
      </c>
      <c r="E99" s="16">
        <v>529</v>
      </c>
      <c r="F99" s="1"/>
      <c r="G99" t="b">
        <f>IF(Links!$E$2="All Industries",TRUE,Links!$E$2=Data!B99)</f>
        <v>0</v>
      </c>
      <c r="H99" t="b">
        <f>IF(Links!$F$2="All Regions",TRUE,Links!$F$2=Data!C99)</f>
        <v>1</v>
      </c>
      <c r="I99" t="b">
        <f>IF(Links!$G$2="All Months",TRUE,Links!$G$2=Data!D99)</f>
        <v>1</v>
      </c>
      <c r="J99" t="b">
        <f t="shared" si="1"/>
        <v>0</v>
      </c>
      <c r="K99" t="str">
        <f>IF(J99,ROWS($J$2:J99),"")</f>
        <v/>
      </c>
      <c r="L99" t="str">
        <f>IFERROR(SMALL($K$2:$K$101,ROWS($K$2:K99)),"")</f>
        <v/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5" customHeight="1" x14ac:dyDescent="0.3">
      <c r="A100" s="14" t="s">
        <v>235</v>
      </c>
      <c r="B100" s="14" t="s">
        <v>52</v>
      </c>
      <c r="C100" s="14" t="s">
        <v>239</v>
      </c>
      <c r="D100" s="15">
        <v>41981</v>
      </c>
      <c r="E100" s="16">
        <v>311</v>
      </c>
      <c r="F100" s="1"/>
      <c r="G100" t="b">
        <f>IF(Links!$E$2="All Industries",TRUE,Links!$E$2=Data!B100)</f>
        <v>0</v>
      </c>
      <c r="H100" t="b">
        <f>IF(Links!$F$2="All Regions",TRUE,Links!$F$2=Data!C100)</f>
        <v>1</v>
      </c>
      <c r="I100" t="b">
        <f>IF(Links!$G$2="All Months",TRUE,Links!$G$2=Data!D100)</f>
        <v>1</v>
      </c>
      <c r="J100" t="b">
        <f t="shared" si="1"/>
        <v>0</v>
      </c>
      <c r="K100" t="str">
        <f>IF(J100,ROWS($J$2:J100),"")</f>
        <v/>
      </c>
      <c r="L100" t="str">
        <f>IFERROR(SMALL($K$2:$K$101,ROWS($K$2:K100)),"")</f>
        <v/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5" customHeight="1" x14ac:dyDescent="0.3">
      <c r="A101" s="14" t="s">
        <v>236</v>
      </c>
      <c r="B101" s="14" t="s">
        <v>21</v>
      </c>
      <c r="C101" s="14" t="s">
        <v>48</v>
      </c>
      <c r="D101" s="15">
        <v>41983</v>
      </c>
      <c r="E101" s="16">
        <v>192</v>
      </c>
      <c r="F101" s="1"/>
      <c r="G101" t="b">
        <f>IF(Links!$E$2="All Industries",TRUE,Links!$E$2=Data!B101)</f>
        <v>0</v>
      </c>
      <c r="H101" t="b">
        <f>IF(Links!$F$2="All Regions",TRUE,Links!$F$2=Data!C101)</f>
        <v>1</v>
      </c>
      <c r="I101" t="b">
        <f>IF(Links!$G$2="All Months",TRUE,Links!$G$2=Data!D101)</f>
        <v>1</v>
      </c>
      <c r="J101" t="b">
        <f t="shared" si="1"/>
        <v>0</v>
      </c>
      <c r="K101" t="str">
        <f>IF(J101,ROWS($J$2:J101),"")</f>
        <v/>
      </c>
      <c r="L101" t="str">
        <f>IFERROR(SMALL($K$2:$K$101,ROWS($K$2:K101)),"")</f>
        <v/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F6" sqref="F6"/>
    </sheetView>
  </sheetViews>
  <sheetFormatPr defaultRowHeight="14.4" x14ac:dyDescent="0.3"/>
  <cols>
    <col min="1" max="1" width="12.6640625" bestFit="1" customWidth="1"/>
    <col min="2" max="3" width="10.88671875" bestFit="1" customWidth="1"/>
    <col min="5" max="6" width="11.33203125" bestFit="1" customWidth="1"/>
    <col min="7" max="7" width="9.6640625" bestFit="1" customWidth="1"/>
  </cols>
  <sheetData>
    <row r="1" spans="1:7" x14ac:dyDescent="0.3">
      <c r="A1" s="20" t="s">
        <v>253</v>
      </c>
      <c r="B1" s="21" t="s">
        <v>254</v>
      </c>
      <c r="C1" s="20" t="s">
        <v>255</v>
      </c>
      <c r="E1" s="3">
        <v>2</v>
      </c>
      <c r="F1" s="3">
        <v>1</v>
      </c>
      <c r="G1" s="3">
        <v>1</v>
      </c>
    </row>
    <row r="2" spans="1:7" x14ac:dyDescent="0.3">
      <c r="A2" s="23" t="s">
        <v>58</v>
      </c>
      <c r="B2" s="24" t="s">
        <v>239</v>
      </c>
      <c r="C2" s="20" t="s">
        <v>241</v>
      </c>
      <c r="E2" s="3" t="str">
        <f>INDEX($A$1:$A$6,E1)</f>
        <v>Healthcare</v>
      </c>
      <c r="F2" s="3" t="str">
        <f>INDEX($B$1:$B$8,F1)</f>
        <v>All Regions</v>
      </c>
      <c r="G2" s="3" t="str">
        <f>INDEX($C$1:$C$13,G1)</f>
        <v>All Months</v>
      </c>
    </row>
    <row r="3" spans="1:7" x14ac:dyDescent="0.3">
      <c r="A3" s="23" t="s">
        <v>37</v>
      </c>
      <c r="B3" s="24" t="s">
        <v>22</v>
      </c>
      <c r="C3" s="20" t="s">
        <v>242</v>
      </c>
    </row>
    <row r="4" spans="1:7" x14ac:dyDescent="0.3">
      <c r="A4" s="23" t="s">
        <v>21</v>
      </c>
      <c r="B4" s="24" t="s">
        <v>238</v>
      </c>
      <c r="C4" s="20" t="s">
        <v>243</v>
      </c>
    </row>
    <row r="5" spans="1:7" x14ac:dyDescent="0.3">
      <c r="A5" s="23" t="s">
        <v>237</v>
      </c>
      <c r="B5" s="24" t="s">
        <v>15</v>
      </c>
      <c r="C5" s="20" t="s">
        <v>244</v>
      </c>
    </row>
    <row r="6" spans="1:7" x14ac:dyDescent="0.3">
      <c r="A6" s="23" t="s">
        <v>52</v>
      </c>
      <c r="B6" s="24" t="s">
        <v>48</v>
      </c>
      <c r="C6" s="20" t="s">
        <v>245</v>
      </c>
      <c r="E6" t="s">
        <v>261</v>
      </c>
      <c r="F6">
        <f>COUNTIF(Dashboard!B6:B105,"?*")</f>
        <v>21</v>
      </c>
    </row>
    <row r="7" spans="1:7" x14ac:dyDescent="0.3">
      <c r="A7" s="22"/>
      <c r="B7" s="24" t="s">
        <v>38</v>
      </c>
      <c r="C7" s="20" t="s">
        <v>246</v>
      </c>
      <c r="E7" t="s">
        <v>262</v>
      </c>
      <c r="F7" s="25">
        <f>SUM(Dashboard!F6:F105)</f>
        <v>13745</v>
      </c>
    </row>
    <row r="8" spans="1:7" x14ac:dyDescent="0.3">
      <c r="A8" s="22"/>
      <c r="B8" s="24" t="s">
        <v>9</v>
      </c>
      <c r="C8" s="20" t="s">
        <v>247</v>
      </c>
    </row>
    <row r="9" spans="1:7" x14ac:dyDescent="0.3">
      <c r="A9" s="22"/>
      <c r="B9" s="22"/>
      <c r="C9" s="20" t="s">
        <v>248</v>
      </c>
    </row>
    <row r="10" spans="1:7" x14ac:dyDescent="0.3">
      <c r="A10" s="22"/>
      <c r="B10" s="22"/>
      <c r="C10" s="20" t="s">
        <v>249</v>
      </c>
    </row>
    <row r="11" spans="1:7" x14ac:dyDescent="0.3">
      <c r="A11" s="22"/>
      <c r="B11" s="22"/>
      <c r="C11" s="20" t="s">
        <v>250</v>
      </c>
    </row>
    <row r="12" spans="1:7" x14ac:dyDescent="0.3">
      <c r="A12" s="22"/>
      <c r="B12" s="22"/>
      <c r="C12" s="20" t="s">
        <v>251</v>
      </c>
    </row>
    <row r="13" spans="1:7" x14ac:dyDescent="0.3">
      <c r="A13" s="22"/>
      <c r="B13" s="22"/>
      <c r="C13" s="20" t="s">
        <v>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5:F105"/>
  <sheetViews>
    <sheetView workbookViewId="0">
      <selection activeCell="L11" sqref="L11"/>
    </sheetView>
  </sheetViews>
  <sheetFormatPr defaultRowHeight="14.4" x14ac:dyDescent="0.3"/>
  <cols>
    <col min="2" max="2" width="16.77734375" customWidth="1"/>
    <col min="3" max="3" width="10.21875" bestFit="1" customWidth="1"/>
    <col min="4" max="4" width="8.109375" bestFit="1" customWidth="1"/>
    <col min="5" max="5" width="10.109375" bestFit="1" customWidth="1"/>
    <col min="6" max="6" width="12" bestFit="1" customWidth="1"/>
  </cols>
  <sheetData>
    <row r="5" spans="2:6" ht="24.6" x14ac:dyDescent="0.3">
      <c r="B5" s="13" t="s">
        <v>0</v>
      </c>
      <c r="C5" s="13" t="s">
        <v>1</v>
      </c>
      <c r="D5" s="13" t="s">
        <v>3</v>
      </c>
      <c r="E5" s="13" t="s">
        <v>5</v>
      </c>
      <c r="F5" s="13" t="s">
        <v>240</v>
      </c>
    </row>
    <row r="6" spans="2:6" x14ac:dyDescent="0.3">
      <c r="B6" s="18" t="str">
        <f>IFERROR(INDEX(Data!$A$2:$E$101,Data!$L2,COLUMNS(Data!$I$1:I101)),"")</f>
        <v>Client 1</v>
      </c>
      <c r="C6" s="18" t="str">
        <f>IFERROR(INDEX(Data!$A$2:$E$101,Data!$L2,COLUMNS(Data!$I$1:J101)),"")</f>
        <v>Healthcare</v>
      </c>
      <c r="D6" s="18" t="str">
        <f>IFERROR(INDEX(Data!$A$2:$E$101,Data!$L2,COLUMNS(Data!$I$1:K101)),"")</f>
        <v>China</v>
      </c>
      <c r="E6" s="19">
        <f>IFERROR(INDEX(Data!$A$2:$E$101,Data!$L2,COLUMNS(Data!$I$1:L101)),"")</f>
        <v>41641</v>
      </c>
      <c r="F6" s="18">
        <f>IFERROR(INDEX(Data!$A$2:$E$101,Data!$L2,COLUMNS(Data!$I$1:M101)),"")</f>
        <v>739</v>
      </c>
    </row>
    <row r="7" spans="2:6" x14ac:dyDescent="0.3">
      <c r="B7" s="18" t="str">
        <f>IFERROR(INDEX(Data!$A$2:$E$101,Data!$L3,COLUMNS(Data!$I$1:I102)),"")</f>
        <v>Client 9</v>
      </c>
      <c r="C7" s="18" t="str">
        <f>IFERROR(INDEX(Data!$A$2:$E$101,Data!$L3,COLUMNS(Data!$I$1:J102)),"")</f>
        <v>Healthcare</v>
      </c>
      <c r="D7" s="18" t="str">
        <f>IFERROR(INDEX(Data!$A$2:$E$101,Data!$L3,COLUMNS(Data!$I$1:K102)),"")</f>
        <v>Spain</v>
      </c>
      <c r="E7" s="19">
        <f>IFERROR(INDEX(Data!$A$2:$E$101,Data!$L3,COLUMNS(Data!$I$1:L102)),"")</f>
        <v>41669</v>
      </c>
      <c r="F7" s="18">
        <f>IFERROR(INDEX(Data!$A$2:$E$101,Data!$L3,COLUMNS(Data!$I$1:M102)),"")</f>
        <v>170</v>
      </c>
    </row>
    <row r="8" spans="2:6" x14ac:dyDescent="0.3">
      <c r="B8" s="18" t="str">
        <f>IFERROR(INDEX(Data!$A$2:$E$101,Data!$L4,COLUMNS(Data!$I$1:I103)),"")</f>
        <v>Client 14</v>
      </c>
      <c r="C8" s="18" t="str">
        <f>IFERROR(INDEX(Data!$A$2:$E$101,Data!$L4,COLUMNS(Data!$I$1:J103)),"")</f>
        <v>Healthcare</v>
      </c>
      <c r="D8" s="18" t="str">
        <f>IFERROR(INDEX(Data!$A$2:$E$101,Data!$L4,COLUMNS(Data!$I$1:K103)),"")</f>
        <v>Canada</v>
      </c>
      <c r="E8" s="19">
        <f>IFERROR(INDEX(Data!$A$2:$E$101,Data!$L4,COLUMNS(Data!$I$1:L103)),"")</f>
        <v>41678</v>
      </c>
      <c r="F8" s="18">
        <f>IFERROR(INDEX(Data!$A$2:$E$101,Data!$L4,COLUMNS(Data!$I$1:M103)),"")</f>
        <v>517</v>
      </c>
    </row>
    <row r="9" spans="2:6" x14ac:dyDescent="0.3">
      <c r="B9" s="18" t="str">
        <f>IFERROR(INDEX(Data!$A$2:$E$101,Data!$L5,COLUMNS(Data!$I$1:I104)),"")</f>
        <v>Client 15</v>
      </c>
      <c r="C9" s="18" t="str">
        <f>IFERROR(INDEX(Data!$A$2:$E$101,Data!$L5,COLUMNS(Data!$I$1:J104)),"")</f>
        <v>Healthcare</v>
      </c>
      <c r="D9" s="18" t="str">
        <f>IFERROR(INDEX(Data!$A$2:$E$101,Data!$L5,COLUMNS(Data!$I$1:K104)),"")</f>
        <v>China</v>
      </c>
      <c r="E9" s="19">
        <f>IFERROR(INDEX(Data!$A$2:$E$101,Data!$L5,COLUMNS(Data!$I$1:L104)),"")</f>
        <v>41679</v>
      </c>
      <c r="F9" s="18">
        <f>IFERROR(INDEX(Data!$A$2:$E$101,Data!$L5,COLUMNS(Data!$I$1:M104)),"")</f>
        <v>999</v>
      </c>
    </row>
    <row r="10" spans="2:6" x14ac:dyDescent="0.3">
      <c r="B10" s="18" t="str">
        <f>IFERROR(INDEX(Data!$A$2:$E$101,Data!$L6,COLUMNS(Data!$I$1:I105)),"")</f>
        <v>Client 22</v>
      </c>
      <c r="C10" s="18" t="str">
        <f>IFERROR(INDEX(Data!$A$2:$E$101,Data!$L6,COLUMNS(Data!$I$1:J105)),"")</f>
        <v>Healthcare</v>
      </c>
      <c r="D10" s="18" t="str">
        <f>IFERROR(INDEX(Data!$A$2:$E$101,Data!$L6,COLUMNS(Data!$I$1:K105)),"")</f>
        <v>India</v>
      </c>
      <c r="E10" s="19">
        <f>IFERROR(INDEX(Data!$A$2:$E$101,Data!$L6,COLUMNS(Data!$I$1:L105)),"")</f>
        <v>41727</v>
      </c>
      <c r="F10" s="18">
        <f>IFERROR(INDEX(Data!$A$2:$E$101,Data!$L6,COLUMNS(Data!$I$1:M105)),"")</f>
        <v>973</v>
      </c>
    </row>
    <row r="11" spans="2:6" x14ac:dyDescent="0.3">
      <c r="B11" s="18" t="str">
        <f>IFERROR(INDEX(Data!$A$2:$E$101,Data!$L7,COLUMNS(Data!$I$1:I106)),"")</f>
        <v>Client 26</v>
      </c>
      <c r="C11" s="18" t="str">
        <f>IFERROR(INDEX(Data!$A$2:$E$101,Data!$L7,COLUMNS(Data!$I$1:J106)),"")</f>
        <v>Healthcare</v>
      </c>
      <c r="D11" s="18" t="str">
        <f>IFERROR(INDEX(Data!$A$2:$E$101,Data!$L7,COLUMNS(Data!$I$1:K106)),"")</f>
        <v>China</v>
      </c>
      <c r="E11" s="19">
        <f>IFERROR(INDEX(Data!$A$2:$E$101,Data!$L7,COLUMNS(Data!$I$1:L106)),"")</f>
        <v>41731</v>
      </c>
      <c r="F11" s="18">
        <f>IFERROR(INDEX(Data!$A$2:$E$101,Data!$L7,COLUMNS(Data!$I$1:M106)),"")</f>
        <v>890</v>
      </c>
    </row>
    <row r="12" spans="2:6" x14ac:dyDescent="0.3">
      <c r="B12" s="18" t="str">
        <f>IFERROR(INDEX(Data!$A$2:$E$101,Data!$L8,COLUMNS(Data!$I$1:I107)),"")</f>
        <v>Client 31</v>
      </c>
      <c r="C12" s="18" t="str">
        <f>IFERROR(INDEX(Data!$A$2:$E$101,Data!$L8,COLUMNS(Data!$I$1:J107)),"")</f>
        <v>Healthcare</v>
      </c>
      <c r="D12" s="18" t="str">
        <f>IFERROR(INDEX(Data!$A$2:$E$101,Data!$L8,COLUMNS(Data!$I$1:K107)),"")</f>
        <v>Spain</v>
      </c>
      <c r="E12" s="19">
        <f>IFERROR(INDEX(Data!$A$2:$E$101,Data!$L8,COLUMNS(Data!$I$1:L107)),"")</f>
        <v>41741</v>
      </c>
      <c r="F12" s="18">
        <f>IFERROR(INDEX(Data!$A$2:$E$101,Data!$L8,COLUMNS(Data!$I$1:M107)),"")</f>
        <v>763</v>
      </c>
    </row>
    <row r="13" spans="2:6" x14ac:dyDescent="0.3">
      <c r="B13" s="18" t="str">
        <f>IFERROR(INDEX(Data!$A$2:$E$101,Data!$L9,COLUMNS(Data!$I$1:I108)),"")</f>
        <v>Client 33</v>
      </c>
      <c r="C13" s="18" t="str">
        <f>IFERROR(INDEX(Data!$A$2:$E$101,Data!$L9,COLUMNS(Data!$I$1:J108)),"")</f>
        <v>Healthcare</v>
      </c>
      <c r="D13" s="18" t="str">
        <f>IFERROR(INDEX(Data!$A$2:$E$101,Data!$L9,COLUMNS(Data!$I$1:K108)),"")</f>
        <v>India</v>
      </c>
      <c r="E13" s="19">
        <f>IFERROR(INDEX(Data!$A$2:$E$101,Data!$L9,COLUMNS(Data!$I$1:L108)),"")</f>
        <v>41743</v>
      </c>
      <c r="F13" s="18">
        <f>IFERROR(INDEX(Data!$A$2:$E$101,Data!$L9,COLUMNS(Data!$I$1:M108)),"")</f>
        <v>970</v>
      </c>
    </row>
    <row r="14" spans="2:6" x14ac:dyDescent="0.3">
      <c r="B14" s="18" t="str">
        <f>IFERROR(INDEX(Data!$A$2:$E$101,Data!$L10,COLUMNS(Data!$I$1:I109)),"")</f>
        <v>Client 55</v>
      </c>
      <c r="C14" s="18" t="str">
        <f>IFERROR(INDEX(Data!$A$2:$E$101,Data!$L10,COLUMNS(Data!$I$1:J109)),"")</f>
        <v>Healthcare</v>
      </c>
      <c r="D14" s="18" t="str">
        <f>IFERROR(INDEX(Data!$A$2:$E$101,Data!$L10,COLUMNS(Data!$I$1:K109)),"")</f>
        <v>Canada</v>
      </c>
      <c r="E14" s="19">
        <f>IFERROR(INDEX(Data!$A$2:$E$101,Data!$L10,COLUMNS(Data!$I$1:L109)),"")</f>
        <v>41801</v>
      </c>
      <c r="F14" s="18">
        <f>IFERROR(INDEX(Data!$A$2:$E$101,Data!$L10,COLUMNS(Data!$I$1:M109)),"")</f>
        <v>655</v>
      </c>
    </row>
    <row r="15" spans="2:6" x14ac:dyDescent="0.3">
      <c r="B15" s="18" t="str">
        <f>IFERROR(INDEX(Data!$A$2:$E$101,Data!$L11,COLUMNS(Data!$I$1:I110)),"")</f>
        <v>Client 56</v>
      </c>
      <c r="C15" s="18" t="str">
        <f>IFERROR(INDEX(Data!$A$2:$E$101,Data!$L11,COLUMNS(Data!$I$1:J110)),"")</f>
        <v>Healthcare</v>
      </c>
      <c r="D15" s="18" t="str">
        <f>IFERROR(INDEX(Data!$A$2:$E$101,Data!$L11,COLUMNS(Data!$I$1:K110)),"")</f>
        <v>US</v>
      </c>
      <c r="E15" s="19">
        <f>IFERROR(INDEX(Data!$A$2:$E$101,Data!$L11,COLUMNS(Data!$I$1:L110)),"")</f>
        <v>41803</v>
      </c>
      <c r="F15" s="18">
        <f>IFERROR(INDEX(Data!$A$2:$E$101,Data!$L11,COLUMNS(Data!$I$1:M110)),"")</f>
        <v>704</v>
      </c>
    </row>
    <row r="16" spans="2:6" x14ac:dyDescent="0.3">
      <c r="B16" s="18" t="str">
        <f>IFERROR(INDEX(Data!$A$2:$E$101,Data!$L12,COLUMNS(Data!$I$1:I111)),"")</f>
        <v>Client 63</v>
      </c>
      <c r="C16" s="18" t="str">
        <f>IFERROR(INDEX(Data!$A$2:$E$101,Data!$L12,COLUMNS(Data!$I$1:J111)),"")</f>
        <v>Healthcare</v>
      </c>
      <c r="D16" s="18" t="str">
        <f>IFERROR(INDEX(Data!$A$2:$E$101,Data!$L12,COLUMNS(Data!$I$1:K111)),"")</f>
        <v>China</v>
      </c>
      <c r="E16" s="19">
        <f>IFERROR(INDEX(Data!$A$2:$E$101,Data!$L12,COLUMNS(Data!$I$1:L111)),"")</f>
        <v>41817</v>
      </c>
      <c r="F16" s="18">
        <f>IFERROR(INDEX(Data!$A$2:$E$101,Data!$L12,COLUMNS(Data!$I$1:M111)),"")</f>
        <v>975</v>
      </c>
    </row>
    <row r="17" spans="2:6" x14ac:dyDescent="0.3">
      <c r="B17" s="18" t="str">
        <f>IFERROR(INDEX(Data!$A$2:$E$101,Data!$L13,COLUMNS(Data!$I$1:I112)),"")</f>
        <v>Client 64</v>
      </c>
      <c r="C17" s="18" t="str">
        <f>IFERROR(INDEX(Data!$A$2:$E$101,Data!$L13,COLUMNS(Data!$I$1:J112)),"")</f>
        <v>Healthcare</v>
      </c>
      <c r="D17" s="18" t="str">
        <f>IFERROR(INDEX(Data!$A$2:$E$101,Data!$L13,COLUMNS(Data!$I$1:K112)),"")</f>
        <v>Germany</v>
      </c>
      <c r="E17" s="19">
        <f>IFERROR(INDEX(Data!$A$2:$E$101,Data!$L13,COLUMNS(Data!$I$1:L112)),"")</f>
        <v>41821</v>
      </c>
      <c r="F17" s="18">
        <f>IFERROR(INDEX(Data!$A$2:$E$101,Data!$L13,COLUMNS(Data!$I$1:M112)),"")</f>
        <v>719</v>
      </c>
    </row>
    <row r="18" spans="2:6" x14ac:dyDescent="0.3">
      <c r="B18" s="18" t="str">
        <f>IFERROR(INDEX(Data!$A$2:$E$101,Data!$L14,COLUMNS(Data!$I$1:I113)),"")</f>
        <v>Client 69</v>
      </c>
      <c r="C18" s="18" t="str">
        <f>IFERROR(INDEX(Data!$A$2:$E$101,Data!$L14,COLUMNS(Data!$I$1:J113)),"")</f>
        <v>Healthcare</v>
      </c>
      <c r="D18" s="18" t="str">
        <f>IFERROR(INDEX(Data!$A$2:$E$101,Data!$L14,COLUMNS(Data!$I$1:K113)),"")</f>
        <v>US</v>
      </c>
      <c r="E18" s="19">
        <f>IFERROR(INDEX(Data!$A$2:$E$101,Data!$L14,COLUMNS(Data!$I$1:L113)),"")</f>
        <v>41832</v>
      </c>
      <c r="F18" s="18">
        <f>IFERROR(INDEX(Data!$A$2:$E$101,Data!$L14,COLUMNS(Data!$I$1:M113)),"")</f>
        <v>669</v>
      </c>
    </row>
    <row r="19" spans="2:6" x14ac:dyDescent="0.3">
      <c r="B19" s="18" t="str">
        <f>IFERROR(INDEX(Data!$A$2:$E$101,Data!$L15,COLUMNS(Data!$I$1:I114)),"")</f>
        <v>Client 75</v>
      </c>
      <c r="C19" s="18" t="str">
        <f>IFERROR(INDEX(Data!$A$2:$E$101,Data!$L15,COLUMNS(Data!$I$1:J114)),"")</f>
        <v>Healthcare</v>
      </c>
      <c r="D19" s="18" t="str">
        <f>IFERROR(INDEX(Data!$A$2:$E$101,Data!$L15,COLUMNS(Data!$I$1:K114)),"")</f>
        <v>Spain</v>
      </c>
      <c r="E19" s="19">
        <f>IFERROR(INDEX(Data!$A$2:$E$101,Data!$L15,COLUMNS(Data!$I$1:L114)),"")</f>
        <v>41857</v>
      </c>
      <c r="F19" s="18">
        <f>IFERROR(INDEX(Data!$A$2:$E$101,Data!$L15,COLUMNS(Data!$I$1:M114)),"")</f>
        <v>178</v>
      </c>
    </row>
    <row r="20" spans="2:6" x14ac:dyDescent="0.3">
      <c r="B20" s="18" t="str">
        <f>IFERROR(INDEX(Data!$A$2:$E$101,Data!$L16,COLUMNS(Data!$I$1:I115)),"")</f>
        <v>Client 76</v>
      </c>
      <c r="C20" s="18" t="str">
        <f>IFERROR(INDEX(Data!$A$2:$E$101,Data!$L16,COLUMNS(Data!$I$1:J115)),"")</f>
        <v>Healthcare</v>
      </c>
      <c r="D20" s="18" t="str">
        <f>IFERROR(INDEX(Data!$A$2:$E$101,Data!$L16,COLUMNS(Data!$I$1:K115)),"")</f>
        <v>Germany</v>
      </c>
      <c r="E20" s="19">
        <f>IFERROR(INDEX(Data!$A$2:$E$101,Data!$L16,COLUMNS(Data!$I$1:L115)),"")</f>
        <v>41861</v>
      </c>
      <c r="F20" s="18">
        <f>IFERROR(INDEX(Data!$A$2:$E$101,Data!$L16,COLUMNS(Data!$I$1:M115)),"")</f>
        <v>848</v>
      </c>
    </row>
    <row r="21" spans="2:6" x14ac:dyDescent="0.3">
      <c r="B21" s="18" t="str">
        <f>IFERROR(INDEX(Data!$A$2:$E$101,Data!$L17,COLUMNS(Data!$I$1:I116)),"")</f>
        <v>Client 77</v>
      </c>
      <c r="C21" s="18" t="str">
        <f>IFERROR(INDEX(Data!$A$2:$E$101,Data!$L17,COLUMNS(Data!$I$1:J116)),"")</f>
        <v>Healthcare</v>
      </c>
      <c r="D21" s="18" t="str">
        <f>IFERROR(INDEX(Data!$A$2:$E$101,Data!$L17,COLUMNS(Data!$I$1:K116)),"")</f>
        <v>Spain</v>
      </c>
      <c r="E21" s="19">
        <f>IFERROR(INDEX(Data!$A$2:$E$101,Data!$L17,COLUMNS(Data!$I$1:L116)),"")</f>
        <v>41870</v>
      </c>
      <c r="F21" s="18">
        <f>IFERROR(INDEX(Data!$A$2:$E$101,Data!$L17,COLUMNS(Data!$I$1:M116)),"")</f>
        <v>259</v>
      </c>
    </row>
    <row r="22" spans="2:6" x14ac:dyDescent="0.3">
      <c r="B22" s="18" t="str">
        <f>IFERROR(INDEX(Data!$A$2:$E$101,Data!$L18,COLUMNS(Data!$I$1:I117)),"")</f>
        <v>Client 81</v>
      </c>
      <c r="C22" s="18" t="str">
        <f>IFERROR(INDEX(Data!$A$2:$E$101,Data!$L18,COLUMNS(Data!$I$1:J117)),"")</f>
        <v>Healthcare</v>
      </c>
      <c r="D22" s="18" t="str">
        <f>IFERROR(INDEX(Data!$A$2:$E$101,Data!$L18,COLUMNS(Data!$I$1:K117)),"")</f>
        <v>France</v>
      </c>
      <c r="E22" s="19">
        <f>IFERROR(INDEX(Data!$A$2:$E$101,Data!$L18,COLUMNS(Data!$I$1:L117)),"")</f>
        <v>41880</v>
      </c>
      <c r="F22" s="18">
        <f>IFERROR(INDEX(Data!$A$2:$E$101,Data!$L18,COLUMNS(Data!$I$1:M117)),"")</f>
        <v>194</v>
      </c>
    </row>
    <row r="23" spans="2:6" x14ac:dyDescent="0.3">
      <c r="B23" s="18" t="str">
        <f>IFERROR(INDEX(Data!$A$2:$E$101,Data!$L19,COLUMNS(Data!$I$1:I118)),"")</f>
        <v>Client 82</v>
      </c>
      <c r="C23" s="18" t="str">
        <f>IFERROR(INDEX(Data!$A$2:$E$101,Data!$L19,COLUMNS(Data!$I$1:J118)),"")</f>
        <v>Healthcare</v>
      </c>
      <c r="D23" s="18" t="str">
        <f>IFERROR(INDEX(Data!$A$2:$E$101,Data!$L19,COLUMNS(Data!$I$1:K118)),"")</f>
        <v>France</v>
      </c>
      <c r="E23" s="19">
        <f>IFERROR(INDEX(Data!$A$2:$E$101,Data!$L19,COLUMNS(Data!$I$1:L118)),"")</f>
        <v>41889</v>
      </c>
      <c r="F23" s="18">
        <f>IFERROR(INDEX(Data!$A$2:$E$101,Data!$L19,COLUMNS(Data!$I$1:M118)),"")</f>
        <v>746</v>
      </c>
    </row>
    <row r="24" spans="2:6" x14ac:dyDescent="0.3">
      <c r="B24" s="18" t="str">
        <f>IFERROR(INDEX(Data!$A$2:$E$101,Data!$L20,COLUMNS(Data!$I$1:I119)),"")</f>
        <v>Client 85</v>
      </c>
      <c r="C24" s="18" t="str">
        <f>IFERROR(INDEX(Data!$A$2:$E$101,Data!$L20,COLUMNS(Data!$I$1:J119)),"")</f>
        <v>Healthcare</v>
      </c>
      <c r="D24" s="18" t="str">
        <f>IFERROR(INDEX(Data!$A$2:$E$101,Data!$L20,COLUMNS(Data!$I$1:K119)),"")</f>
        <v>Canada</v>
      </c>
      <c r="E24" s="19">
        <f>IFERROR(INDEX(Data!$A$2:$E$101,Data!$L20,COLUMNS(Data!$I$1:L119)),"")</f>
        <v>41905</v>
      </c>
      <c r="F24" s="18">
        <f>IFERROR(INDEX(Data!$A$2:$E$101,Data!$L20,COLUMNS(Data!$I$1:M119)),"")</f>
        <v>641</v>
      </c>
    </row>
    <row r="25" spans="2:6" x14ac:dyDescent="0.3">
      <c r="B25" s="18" t="str">
        <f>IFERROR(INDEX(Data!$A$2:$E$101,Data!$L21,COLUMNS(Data!$I$1:I120)),"")</f>
        <v>Client 86</v>
      </c>
      <c r="C25" s="18" t="str">
        <f>IFERROR(INDEX(Data!$A$2:$E$101,Data!$L21,COLUMNS(Data!$I$1:J120)),"")</f>
        <v>Healthcare</v>
      </c>
      <c r="D25" s="18" t="str">
        <f>IFERROR(INDEX(Data!$A$2:$E$101,Data!$L21,COLUMNS(Data!$I$1:K120)),"")</f>
        <v>Spain</v>
      </c>
      <c r="E25" s="19">
        <f>IFERROR(INDEX(Data!$A$2:$E$101,Data!$L21,COLUMNS(Data!$I$1:L120)),"")</f>
        <v>41908</v>
      </c>
      <c r="F25" s="18">
        <f>IFERROR(INDEX(Data!$A$2:$E$101,Data!$L21,COLUMNS(Data!$I$1:M120)),"")</f>
        <v>196</v>
      </c>
    </row>
    <row r="26" spans="2:6" x14ac:dyDescent="0.3">
      <c r="B26" s="18" t="str">
        <f>IFERROR(INDEX(Data!$A$2:$E$101,Data!$L22,COLUMNS(Data!$I$1:I121)),"")</f>
        <v>Client 89</v>
      </c>
      <c r="C26" s="18" t="str">
        <f>IFERROR(INDEX(Data!$A$2:$E$101,Data!$L22,COLUMNS(Data!$I$1:J121)),"")</f>
        <v>Healthcare</v>
      </c>
      <c r="D26" s="18" t="str">
        <f>IFERROR(INDEX(Data!$A$2:$E$101,Data!$L22,COLUMNS(Data!$I$1:K121)),"")</f>
        <v>US</v>
      </c>
      <c r="E26" s="19">
        <f>IFERROR(INDEX(Data!$A$2:$E$101,Data!$L22,COLUMNS(Data!$I$1:L121)),"")</f>
        <v>41945</v>
      </c>
      <c r="F26" s="18">
        <f>IFERROR(INDEX(Data!$A$2:$E$101,Data!$L22,COLUMNS(Data!$I$1:M121)),"")</f>
        <v>940</v>
      </c>
    </row>
    <row r="27" spans="2:6" x14ac:dyDescent="0.3">
      <c r="B27" s="18" t="str">
        <f>IFERROR(INDEX(Data!$A$2:$E$101,Data!$L23,COLUMNS(Data!$I$1:I122)),"")</f>
        <v/>
      </c>
      <c r="C27" s="18" t="str">
        <f>IFERROR(INDEX(Data!$A$2:$E$101,Data!$L23,COLUMNS(Data!$I$1:J122)),"")</f>
        <v/>
      </c>
      <c r="D27" s="18" t="str">
        <f>IFERROR(INDEX(Data!$A$2:$E$101,Data!$L23,COLUMNS(Data!$I$1:K122)),"")</f>
        <v/>
      </c>
      <c r="E27" s="19" t="str">
        <f>IFERROR(INDEX(Data!$A$2:$E$101,Data!$L23,COLUMNS(Data!$I$1:L122)),"")</f>
        <v/>
      </c>
      <c r="F27" s="18" t="str">
        <f>IFERROR(INDEX(Data!$A$2:$E$101,Data!$L23,COLUMNS(Data!$I$1:M122)),"")</f>
        <v/>
      </c>
    </row>
    <row r="28" spans="2:6" x14ac:dyDescent="0.3">
      <c r="B28" s="18" t="str">
        <f>IFERROR(INDEX(Data!$A$2:$E$101,Data!$L24,COLUMNS(Data!$I$1:I123)),"")</f>
        <v/>
      </c>
      <c r="C28" s="18" t="str">
        <f>IFERROR(INDEX(Data!$A$2:$E$101,Data!$L24,COLUMNS(Data!$I$1:J123)),"")</f>
        <v/>
      </c>
      <c r="D28" s="18" t="str">
        <f>IFERROR(INDEX(Data!$A$2:$E$101,Data!$L24,COLUMNS(Data!$I$1:K123)),"")</f>
        <v/>
      </c>
      <c r="E28" s="19" t="str">
        <f>IFERROR(INDEX(Data!$A$2:$E$101,Data!$L24,COLUMNS(Data!$I$1:L123)),"")</f>
        <v/>
      </c>
      <c r="F28" s="18" t="str">
        <f>IFERROR(INDEX(Data!$A$2:$E$101,Data!$L24,COLUMNS(Data!$I$1:M123)),"")</f>
        <v/>
      </c>
    </row>
    <row r="29" spans="2:6" x14ac:dyDescent="0.3">
      <c r="B29" s="18" t="str">
        <f>IFERROR(INDEX(Data!$A$2:$E$101,Data!$L25,COLUMNS(Data!$I$1:I124)),"")</f>
        <v/>
      </c>
      <c r="C29" s="18" t="str">
        <f>IFERROR(INDEX(Data!$A$2:$E$101,Data!$L25,COLUMNS(Data!$I$1:J124)),"")</f>
        <v/>
      </c>
      <c r="D29" s="18" t="str">
        <f>IFERROR(INDEX(Data!$A$2:$E$101,Data!$L25,COLUMNS(Data!$I$1:K124)),"")</f>
        <v/>
      </c>
      <c r="E29" s="19" t="str">
        <f>IFERROR(INDEX(Data!$A$2:$E$101,Data!$L25,COLUMNS(Data!$I$1:L124)),"")</f>
        <v/>
      </c>
      <c r="F29" s="18" t="str">
        <f>IFERROR(INDEX(Data!$A$2:$E$101,Data!$L25,COLUMNS(Data!$I$1:M124)),"")</f>
        <v/>
      </c>
    </row>
    <row r="30" spans="2:6" x14ac:dyDescent="0.3">
      <c r="B30" s="18" t="str">
        <f>IFERROR(INDEX(Data!$A$2:$E$101,Data!$L26,COLUMNS(Data!$I$1:I125)),"")</f>
        <v/>
      </c>
      <c r="C30" s="18" t="str">
        <f>IFERROR(INDEX(Data!$A$2:$E$101,Data!$L26,COLUMNS(Data!$I$1:J125)),"")</f>
        <v/>
      </c>
      <c r="D30" s="18" t="str">
        <f>IFERROR(INDEX(Data!$A$2:$E$101,Data!$L26,COLUMNS(Data!$I$1:K125)),"")</f>
        <v/>
      </c>
      <c r="E30" s="19" t="str">
        <f>IFERROR(INDEX(Data!$A$2:$E$101,Data!$L26,COLUMNS(Data!$I$1:L125)),"")</f>
        <v/>
      </c>
      <c r="F30" s="18" t="str">
        <f>IFERROR(INDEX(Data!$A$2:$E$101,Data!$L26,COLUMNS(Data!$I$1:M125)),"")</f>
        <v/>
      </c>
    </row>
    <row r="31" spans="2:6" x14ac:dyDescent="0.3">
      <c r="B31" s="18" t="str">
        <f>IFERROR(INDEX(Data!$A$2:$E$101,Data!$L27,COLUMNS(Data!$I$1:I126)),"")</f>
        <v/>
      </c>
      <c r="C31" s="18" t="str">
        <f>IFERROR(INDEX(Data!$A$2:$E$101,Data!$L27,COLUMNS(Data!$I$1:J126)),"")</f>
        <v/>
      </c>
      <c r="D31" s="18" t="str">
        <f>IFERROR(INDEX(Data!$A$2:$E$101,Data!$L27,COLUMNS(Data!$I$1:K126)),"")</f>
        <v/>
      </c>
      <c r="E31" s="19" t="str">
        <f>IFERROR(INDEX(Data!$A$2:$E$101,Data!$L27,COLUMNS(Data!$I$1:L126)),"")</f>
        <v/>
      </c>
      <c r="F31" s="18" t="str">
        <f>IFERROR(INDEX(Data!$A$2:$E$101,Data!$L27,COLUMNS(Data!$I$1:M126)),"")</f>
        <v/>
      </c>
    </row>
    <row r="32" spans="2:6" x14ac:dyDescent="0.3">
      <c r="B32" s="18" t="str">
        <f>IFERROR(INDEX(Data!$A$2:$E$101,Data!$L28,COLUMNS(Data!$I$1:I127)),"")</f>
        <v/>
      </c>
      <c r="C32" s="18" t="str">
        <f>IFERROR(INDEX(Data!$A$2:$E$101,Data!$L28,COLUMNS(Data!$I$1:J127)),"")</f>
        <v/>
      </c>
      <c r="D32" s="18" t="str">
        <f>IFERROR(INDEX(Data!$A$2:$E$101,Data!$L28,COLUMNS(Data!$I$1:K127)),"")</f>
        <v/>
      </c>
      <c r="E32" s="19" t="str">
        <f>IFERROR(INDEX(Data!$A$2:$E$101,Data!$L28,COLUMNS(Data!$I$1:L127)),"")</f>
        <v/>
      </c>
      <c r="F32" s="18" t="str">
        <f>IFERROR(INDEX(Data!$A$2:$E$101,Data!$L28,COLUMNS(Data!$I$1:M127)),"")</f>
        <v/>
      </c>
    </row>
    <row r="33" spans="2:6" x14ac:dyDescent="0.3">
      <c r="B33" s="18" t="str">
        <f>IFERROR(INDEX(Data!$A$2:$E$101,Data!$L29,COLUMNS(Data!$I$1:I128)),"")</f>
        <v/>
      </c>
      <c r="C33" s="18" t="str">
        <f>IFERROR(INDEX(Data!$A$2:$E$101,Data!$L29,COLUMNS(Data!$I$1:J128)),"")</f>
        <v/>
      </c>
      <c r="D33" s="18" t="str">
        <f>IFERROR(INDEX(Data!$A$2:$E$101,Data!$L29,COLUMNS(Data!$I$1:K128)),"")</f>
        <v/>
      </c>
      <c r="E33" s="19" t="str">
        <f>IFERROR(INDEX(Data!$A$2:$E$101,Data!$L29,COLUMNS(Data!$I$1:L128)),"")</f>
        <v/>
      </c>
      <c r="F33" s="18" t="str">
        <f>IFERROR(INDEX(Data!$A$2:$E$101,Data!$L29,COLUMNS(Data!$I$1:M128)),"")</f>
        <v/>
      </c>
    </row>
    <row r="34" spans="2:6" x14ac:dyDescent="0.3">
      <c r="B34" s="18" t="str">
        <f>IFERROR(INDEX(Data!$A$2:$E$101,Data!$L30,COLUMNS(Data!$I$1:I129)),"")</f>
        <v/>
      </c>
      <c r="C34" s="18" t="str">
        <f>IFERROR(INDEX(Data!$A$2:$E$101,Data!$L30,COLUMNS(Data!$I$1:J129)),"")</f>
        <v/>
      </c>
      <c r="D34" s="18" t="str">
        <f>IFERROR(INDEX(Data!$A$2:$E$101,Data!$L30,COLUMNS(Data!$I$1:K129)),"")</f>
        <v/>
      </c>
      <c r="E34" s="19" t="str">
        <f>IFERROR(INDEX(Data!$A$2:$E$101,Data!$L30,COLUMNS(Data!$I$1:L129)),"")</f>
        <v/>
      </c>
      <c r="F34" s="18" t="str">
        <f>IFERROR(INDEX(Data!$A$2:$E$101,Data!$L30,COLUMNS(Data!$I$1:M129)),"")</f>
        <v/>
      </c>
    </row>
    <row r="35" spans="2:6" x14ac:dyDescent="0.3">
      <c r="B35" s="18" t="str">
        <f>IFERROR(INDEX(Data!$A$2:$E$101,Data!$L31,COLUMNS(Data!$I$1:I130)),"")</f>
        <v/>
      </c>
      <c r="C35" s="18" t="str">
        <f>IFERROR(INDEX(Data!$A$2:$E$101,Data!$L31,COLUMNS(Data!$I$1:J130)),"")</f>
        <v/>
      </c>
      <c r="D35" s="18" t="str">
        <f>IFERROR(INDEX(Data!$A$2:$E$101,Data!$L31,COLUMNS(Data!$I$1:K130)),"")</f>
        <v/>
      </c>
      <c r="E35" s="19" t="str">
        <f>IFERROR(INDEX(Data!$A$2:$E$101,Data!$L31,COLUMNS(Data!$I$1:L130)),"")</f>
        <v/>
      </c>
      <c r="F35" s="18" t="str">
        <f>IFERROR(INDEX(Data!$A$2:$E$101,Data!$L31,COLUMNS(Data!$I$1:M130)),"")</f>
        <v/>
      </c>
    </row>
    <row r="36" spans="2:6" x14ac:dyDescent="0.3">
      <c r="B36" s="18" t="str">
        <f>IFERROR(INDEX(Data!$A$2:$E$101,Data!$L32,COLUMNS(Data!$I$1:I131)),"")</f>
        <v/>
      </c>
      <c r="C36" s="18" t="str">
        <f>IFERROR(INDEX(Data!$A$2:$E$101,Data!$L32,COLUMNS(Data!$I$1:J131)),"")</f>
        <v/>
      </c>
      <c r="D36" s="18" t="str">
        <f>IFERROR(INDEX(Data!$A$2:$E$101,Data!$L32,COLUMNS(Data!$I$1:K131)),"")</f>
        <v/>
      </c>
      <c r="E36" s="19" t="str">
        <f>IFERROR(INDEX(Data!$A$2:$E$101,Data!$L32,COLUMNS(Data!$I$1:L131)),"")</f>
        <v/>
      </c>
      <c r="F36" s="18" t="str">
        <f>IFERROR(INDEX(Data!$A$2:$E$101,Data!$L32,COLUMNS(Data!$I$1:M131)),"")</f>
        <v/>
      </c>
    </row>
    <row r="37" spans="2:6" x14ac:dyDescent="0.3">
      <c r="B37" s="18" t="str">
        <f>IFERROR(INDEX(Data!$A$2:$E$101,Data!$L33,COLUMNS(Data!$I$1:I132)),"")</f>
        <v/>
      </c>
      <c r="C37" s="18" t="str">
        <f>IFERROR(INDEX(Data!$A$2:$E$101,Data!$L33,COLUMNS(Data!$I$1:J132)),"")</f>
        <v/>
      </c>
      <c r="D37" s="18" t="str">
        <f>IFERROR(INDEX(Data!$A$2:$E$101,Data!$L33,COLUMNS(Data!$I$1:K132)),"")</f>
        <v/>
      </c>
      <c r="E37" s="19" t="str">
        <f>IFERROR(INDEX(Data!$A$2:$E$101,Data!$L33,COLUMNS(Data!$I$1:L132)),"")</f>
        <v/>
      </c>
      <c r="F37" s="18" t="str">
        <f>IFERROR(INDEX(Data!$A$2:$E$101,Data!$L33,COLUMNS(Data!$I$1:M132)),"")</f>
        <v/>
      </c>
    </row>
    <row r="38" spans="2:6" x14ac:dyDescent="0.3">
      <c r="B38" s="18" t="str">
        <f>IFERROR(INDEX(Data!$A$2:$E$101,Data!$L34,COLUMNS(Data!$I$1:I133)),"")</f>
        <v/>
      </c>
      <c r="C38" s="18" t="str">
        <f>IFERROR(INDEX(Data!$A$2:$E$101,Data!$L34,COLUMNS(Data!$I$1:J133)),"")</f>
        <v/>
      </c>
      <c r="D38" s="18" t="str">
        <f>IFERROR(INDEX(Data!$A$2:$E$101,Data!$L34,COLUMNS(Data!$I$1:K133)),"")</f>
        <v/>
      </c>
      <c r="E38" s="19" t="str">
        <f>IFERROR(INDEX(Data!$A$2:$E$101,Data!$L34,COLUMNS(Data!$I$1:L133)),"")</f>
        <v/>
      </c>
      <c r="F38" s="18" t="str">
        <f>IFERROR(INDEX(Data!$A$2:$E$101,Data!$L34,COLUMNS(Data!$I$1:M133)),"")</f>
        <v/>
      </c>
    </row>
    <row r="39" spans="2:6" x14ac:dyDescent="0.3">
      <c r="B39" s="18" t="str">
        <f>IFERROR(INDEX(Data!$A$2:$E$101,Data!$L35,COLUMNS(Data!$I$1:I134)),"")</f>
        <v/>
      </c>
      <c r="C39" s="18" t="str">
        <f>IFERROR(INDEX(Data!$A$2:$E$101,Data!$L35,COLUMNS(Data!$I$1:J134)),"")</f>
        <v/>
      </c>
      <c r="D39" s="18" t="str">
        <f>IFERROR(INDEX(Data!$A$2:$E$101,Data!$L35,COLUMNS(Data!$I$1:K134)),"")</f>
        <v/>
      </c>
      <c r="E39" s="19" t="str">
        <f>IFERROR(INDEX(Data!$A$2:$E$101,Data!$L35,COLUMNS(Data!$I$1:L134)),"")</f>
        <v/>
      </c>
      <c r="F39" s="18" t="str">
        <f>IFERROR(INDEX(Data!$A$2:$E$101,Data!$L35,COLUMNS(Data!$I$1:M134)),"")</f>
        <v/>
      </c>
    </row>
    <row r="40" spans="2:6" x14ac:dyDescent="0.3">
      <c r="B40" s="18" t="str">
        <f>IFERROR(INDEX(Data!$A$2:$E$101,Data!$L36,COLUMNS(Data!$I$1:I135)),"")</f>
        <v/>
      </c>
      <c r="C40" s="18" t="str">
        <f>IFERROR(INDEX(Data!$A$2:$E$101,Data!$L36,COLUMNS(Data!$I$1:J135)),"")</f>
        <v/>
      </c>
      <c r="D40" s="18" t="str">
        <f>IFERROR(INDEX(Data!$A$2:$E$101,Data!$L36,COLUMNS(Data!$I$1:K135)),"")</f>
        <v/>
      </c>
      <c r="E40" s="19" t="str">
        <f>IFERROR(INDEX(Data!$A$2:$E$101,Data!$L36,COLUMNS(Data!$I$1:L135)),"")</f>
        <v/>
      </c>
      <c r="F40" s="18" t="str">
        <f>IFERROR(INDEX(Data!$A$2:$E$101,Data!$L36,COLUMNS(Data!$I$1:M135)),"")</f>
        <v/>
      </c>
    </row>
    <row r="41" spans="2:6" x14ac:dyDescent="0.3">
      <c r="B41" s="18" t="str">
        <f>IFERROR(INDEX(Data!$A$2:$E$101,Data!$L37,COLUMNS(Data!$I$1:I136)),"")</f>
        <v/>
      </c>
      <c r="C41" s="18" t="str">
        <f>IFERROR(INDEX(Data!$A$2:$E$101,Data!$L37,COLUMNS(Data!$I$1:J136)),"")</f>
        <v/>
      </c>
      <c r="D41" s="18" t="str">
        <f>IFERROR(INDEX(Data!$A$2:$E$101,Data!$L37,COLUMNS(Data!$I$1:K136)),"")</f>
        <v/>
      </c>
      <c r="E41" s="19" t="str">
        <f>IFERROR(INDEX(Data!$A$2:$E$101,Data!$L37,COLUMNS(Data!$I$1:L136)),"")</f>
        <v/>
      </c>
      <c r="F41" s="18" t="str">
        <f>IFERROR(INDEX(Data!$A$2:$E$101,Data!$L37,COLUMNS(Data!$I$1:M136)),"")</f>
        <v/>
      </c>
    </row>
    <row r="42" spans="2:6" x14ac:dyDescent="0.3">
      <c r="B42" s="18" t="str">
        <f>IFERROR(INDEX(Data!$A$2:$E$101,Data!$L38,COLUMNS(Data!$I$1:I137)),"")</f>
        <v/>
      </c>
      <c r="C42" s="18" t="str">
        <f>IFERROR(INDEX(Data!$A$2:$E$101,Data!$L38,COLUMNS(Data!$I$1:J137)),"")</f>
        <v/>
      </c>
      <c r="D42" s="18" t="str">
        <f>IFERROR(INDEX(Data!$A$2:$E$101,Data!$L38,COLUMNS(Data!$I$1:K137)),"")</f>
        <v/>
      </c>
      <c r="E42" s="19" t="str">
        <f>IFERROR(INDEX(Data!$A$2:$E$101,Data!$L38,COLUMNS(Data!$I$1:L137)),"")</f>
        <v/>
      </c>
      <c r="F42" s="18" t="str">
        <f>IFERROR(INDEX(Data!$A$2:$E$101,Data!$L38,COLUMNS(Data!$I$1:M137)),"")</f>
        <v/>
      </c>
    </row>
    <row r="43" spans="2:6" x14ac:dyDescent="0.3">
      <c r="B43" s="18" t="str">
        <f>IFERROR(INDEX(Data!$A$2:$E$101,Data!$L39,COLUMNS(Data!$I$1:I138)),"")</f>
        <v/>
      </c>
      <c r="C43" s="18" t="str">
        <f>IFERROR(INDEX(Data!$A$2:$E$101,Data!$L39,COLUMNS(Data!$I$1:J138)),"")</f>
        <v/>
      </c>
      <c r="D43" s="18" t="str">
        <f>IFERROR(INDEX(Data!$A$2:$E$101,Data!$L39,COLUMNS(Data!$I$1:K138)),"")</f>
        <v/>
      </c>
      <c r="E43" s="19" t="str">
        <f>IFERROR(INDEX(Data!$A$2:$E$101,Data!$L39,COLUMNS(Data!$I$1:L138)),"")</f>
        <v/>
      </c>
      <c r="F43" s="18" t="str">
        <f>IFERROR(INDEX(Data!$A$2:$E$101,Data!$L39,COLUMNS(Data!$I$1:M138)),"")</f>
        <v/>
      </c>
    </row>
    <row r="44" spans="2:6" x14ac:dyDescent="0.3">
      <c r="B44" s="18" t="str">
        <f>IFERROR(INDEX(Data!$A$2:$E$101,Data!$L40,COLUMNS(Data!$I$1:I139)),"")</f>
        <v/>
      </c>
      <c r="C44" s="18" t="str">
        <f>IFERROR(INDEX(Data!$A$2:$E$101,Data!$L40,COLUMNS(Data!$I$1:J139)),"")</f>
        <v/>
      </c>
      <c r="D44" s="18" t="str">
        <f>IFERROR(INDEX(Data!$A$2:$E$101,Data!$L40,COLUMNS(Data!$I$1:K139)),"")</f>
        <v/>
      </c>
      <c r="E44" s="19" t="str">
        <f>IFERROR(INDEX(Data!$A$2:$E$101,Data!$L40,COLUMNS(Data!$I$1:L139)),"")</f>
        <v/>
      </c>
      <c r="F44" s="18" t="str">
        <f>IFERROR(INDEX(Data!$A$2:$E$101,Data!$L40,COLUMNS(Data!$I$1:M139)),"")</f>
        <v/>
      </c>
    </row>
    <row r="45" spans="2:6" x14ac:dyDescent="0.3">
      <c r="B45" s="18" t="str">
        <f>IFERROR(INDEX(Data!$A$2:$E$101,Data!$L41,COLUMNS(Data!$I$1:I140)),"")</f>
        <v/>
      </c>
      <c r="C45" s="18" t="str">
        <f>IFERROR(INDEX(Data!$A$2:$E$101,Data!$L41,COLUMNS(Data!$I$1:J140)),"")</f>
        <v/>
      </c>
      <c r="D45" s="18" t="str">
        <f>IFERROR(INDEX(Data!$A$2:$E$101,Data!$L41,COLUMNS(Data!$I$1:K140)),"")</f>
        <v/>
      </c>
      <c r="E45" s="19" t="str">
        <f>IFERROR(INDEX(Data!$A$2:$E$101,Data!$L41,COLUMNS(Data!$I$1:L140)),"")</f>
        <v/>
      </c>
      <c r="F45" s="18" t="str">
        <f>IFERROR(INDEX(Data!$A$2:$E$101,Data!$L41,COLUMNS(Data!$I$1:M140)),"")</f>
        <v/>
      </c>
    </row>
    <row r="46" spans="2:6" x14ac:dyDescent="0.3">
      <c r="B46" s="18" t="str">
        <f>IFERROR(INDEX(Data!$A$2:$E$101,Data!$L42,COLUMNS(Data!$I$1:I141)),"")</f>
        <v/>
      </c>
      <c r="C46" s="18" t="str">
        <f>IFERROR(INDEX(Data!$A$2:$E$101,Data!$L42,COLUMNS(Data!$I$1:J141)),"")</f>
        <v/>
      </c>
      <c r="D46" s="18" t="str">
        <f>IFERROR(INDEX(Data!$A$2:$E$101,Data!$L42,COLUMNS(Data!$I$1:K141)),"")</f>
        <v/>
      </c>
      <c r="E46" s="19" t="str">
        <f>IFERROR(INDEX(Data!$A$2:$E$101,Data!$L42,COLUMNS(Data!$I$1:L141)),"")</f>
        <v/>
      </c>
      <c r="F46" s="18" t="str">
        <f>IFERROR(INDEX(Data!$A$2:$E$101,Data!$L42,COLUMNS(Data!$I$1:M141)),"")</f>
        <v/>
      </c>
    </row>
    <row r="47" spans="2:6" x14ac:dyDescent="0.3">
      <c r="B47" s="18" t="str">
        <f>IFERROR(INDEX(Data!$A$2:$E$101,Data!$L43,COLUMNS(Data!$I$1:I142)),"")</f>
        <v/>
      </c>
      <c r="C47" s="18" t="str">
        <f>IFERROR(INDEX(Data!$A$2:$E$101,Data!$L43,COLUMNS(Data!$I$1:J142)),"")</f>
        <v/>
      </c>
      <c r="D47" s="18" t="str">
        <f>IFERROR(INDEX(Data!$A$2:$E$101,Data!$L43,COLUMNS(Data!$I$1:K142)),"")</f>
        <v/>
      </c>
      <c r="E47" s="19" t="str">
        <f>IFERROR(INDEX(Data!$A$2:$E$101,Data!$L43,COLUMNS(Data!$I$1:L142)),"")</f>
        <v/>
      </c>
      <c r="F47" s="18" t="str">
        <f>IFERROR(INDEX(Data!$A$2:$E$101,Data!$L43,COLUMNS(Data!$I$1:M142)),"")</f>
        <v/>
      </c>
    </row>
    <row r="48" spans="2:6" x14ac:dyDescent="0.3">
      <c r="B48" s="18" t="str">
        <f>IFERROR(INDEX(Data!$A$2:$E$101,Data!$L44,COLUMNS(Data!$I$1:I143)),"")</f>
        <v/>
      </c>
      <c r="C48" s="18" t="str">
        <f>IFERROR(INDEX(Data!$A$2:$E$101,Data!$L44,COLUMNS(Data!$I$1:J143)),"")</f>
        <v/>
      </c>
      <c r="D48" s="18" t="str">
        <f>IFERROR(INDEX(Data!$A$2:$E$101,Data!$L44,COLUMNS(Data!$I$1:K143)),"")</f>
        <v/>
      </c>
      <c r="E48" s="19" t="str">
        <f>IFERROR(INDEX(Data!$A$2:$E$101,Data!$L44,COLUMNS(Data!$I$1:L143)),"")</f>
        <v/>
      </c>
      <c r="F48" s="18" t="str">
        <f>IFERROR(INDEX(Data!$A$2:$E$101,Data!$L44,COLUMNS(Data!$I$1:M143)),"")</f>
        <v/>
      </c>
    </row>
    <row r="49" spans="2:6" x14ac:dyDescent="0.3">
      <c r="B49" s="18" t="str">
        <f>IFERROR(INDEX(Data!$A$2:$E$101,Data!$L45,COLUMNS(Data!$I$1:I144)),"")</f>
        <v/>
      </c>
      <c r="C49" s="18" t="str">
        <f>IFERROR(INDEX(Data!$A$2:$E$101,Data!$L45,COLUMNS(Data!$I$1:J144)),"")</f>
        <v/>
      </c>
      <c r="D49" s="18" t="str">
        <f>IFERROR(INDEX(Data!$A$2:$E$101,Data!$L45,COLUMNS(Data!$I$1:K144)),"")</f>
        <v/>
      </c>
      <c r="E49" s="19" t="str">
        <f>IFERROR(INDEX(Data!$A$2:$E$101,Data!$L45,COLUMNS(Data!$I$1:L144)),"")</f>
        <v/>
      </c>
      <c r="F49" s="18" t="str">
        <f>IFERROR(INDEX(Data!$A$2:$E$101,Data!$L45,COLUMNS(Data!$I$1:M144)),"")</f>
        <v/>
      </c>
    </row>
    <row r="50" spans="2:6" x14ac:dyDescent="0.3">
      <c r="B50" s="18" t="str">
        <f>IFERROR(INDEX(Data!$A$2:$E$101,Data!$L46,COLUMNS(Data!$I$1:I145)),"")</f>
        <v/>
      </c>
      <c r="C50" s="18" t="str">
        <f>IFERROR(INDEX(Data!$A$2:$E$101,Data!$L46,COLUMNS(Data!$I$1:J145)),"")</f>
        <v/>
      </c>
      <c r="D50" s="18" t="str">
        <f>IFERROR(INDEX(Data!$A$2:$E$101,Data!$L46,COLUMNS(Data!$I$1:K145)),"")</f>
        <v/>
      </c>
      <c r="E50" s="19" t="str">
        <f>IFERROR(INDEX(Data!$A$2:$E$101,Data!$L46,COLUMNS(Data!$I$1:L145)),"")</f>
        <v/>
      </c>
      <c r="F50" s="18" t="str">
        <f>IFERROR(INDEX(Data!$A$2:$E$101,Data!$L46,COLUMNS(Data!$I$1:M145)),"")</f>
        <v/>
      </c>
    </row>
    <row r="51" spans="2:6" x14ac:dyDescent="0.3">
      <c r="B51" s="18" t="str">
        <f>IFERROR(INDEX(Data!$A$2:$E$101,Data!$L47,COLUMNS(Data!$I$1:I146)),"")</f>
        <v/>
      </c>
      <c r="C51" s="18" t="str">
        <f>IFERROR(INDEX(Data!$A$2:$E$101,Data!$L47,COLUMNS(Data!$I$1:J146)),"")</f>
        <v/>
      </c>
      <c r="D51" s="18" t="str">
        <f>IFERROR(INDEX(Data!$A$2:$E$101,Data!$L47,COLUMNS(Data!$I$1:K146)),"")</f>
        <v/>
      </c>
      <c r="E51" s="19" t="str">
        <f>IFERROR(INDEX(Data!$A$2:$E$101,Data!$L47,COLUMNS(Data!$I$1:L146)),"")</f>
        <v/>
      </c>
      <c r="F51" s="18" t="str">
        <f>IFERROR(INDEX(Data!$A$2:$E$101,Data!$L47,COLUMNS(Data!$I$1:M146)),"")</f>
        <v/>
      </c>
    </row>
    <row r="52" spans="2:6" x14ac:dyDescent="0.3">
      <c r="B52" s="18" t="str">
        <f>IFERROR(INDEX(Data!$A$2:$E$101,Data!$L48,COLUMNS(Data!$I$1:I147)),"")</f>
        <v/>
      </c>
      <c r="C52" s="18" t="str">
        <f>IFERROR(INDEX(Data!$A$2:$E$101,Data!$L48,COLUMNS(Data!$I$1:J147)),"")</f>
        <v/>
      </c>
      <c r="D52" s="18" t="str">
        <f>IFERROR(INDEX(Data!$A$2:$E$101,Data!$L48,COLUMNS(Data!$I$1:K147)),"")</f>
        <v/>
      </c>
      <c r="E52" s="19" t="str">
        <f>IFERROR(INDEX(Data!$A$2:$E$101,Data!$L48,COLUMNS(Data!$I$1:L147)),"")</f>
        <v/>
      </c>
      <c r="F52" s="18" t="str">
        <f>IFERROR(INDEX(Data!$A$2:$E$101,Data!$L48,COLUMNS(Data!$I$1:M147)),"")</f>
        <v/>
      </c>
    </row>
    <row r="53" spans="2:6" x14ac:dyDescent="0.3">
      <c r="B53" s="18" t="str">
        <f>IFERROR(INDEX(Data!$A$2:$E$101,Data!$L49,COLUMNS(Data!$I$1:I148)),"")</f>
        <v/>
      </c>
      <c r="C53" s="18" t="str">
        <f>IFERROR(INDEX(Data!$A$2:$E$101,Data!$L49,COLUMNS(Data!$I$1:J148)),"")</f>
        <v/>
      </c>
      <c r="D53" s="18" t="str">
        <f>IFERROR(INDEX(Data!$A$2:$E$101,Data!$L49,COLUMNS(Data!$I$1:K148)),"")</f>
        <v/>
      </c>
      <c r="E53" s="19" t="str">
        <f>IFERROR(INDEX(Data!$A$2:$E$101,Data!$L49,COLUMNS(Data!$I$1:L148)),"")</f>
        <v/>
      </c>
      <c r="F53" s="18" t="str">
        <f>IFERROR(INDEX(Data!$A$2:$E$101,Data!$L49,COLUMNS(Data!$I$1:M148)),"")</f>
        <v/>
      </c>
    </row>
    <row r="54" spans="2:6" x14ac:dyDescent="0.3">
      <c r="B54" s="18" t="str">
        <f>IFERROR(INDEX(Data!$A$2:$E$101,Data!$L50,COLUMNS(Data!$I$1:I149)),"")</f>
        <v/>
      </c>
      <c r="C54" s="18" t="str">
        <f>IFERROR(INDEX(Data!$A$2:$E$101,Data!$L50,COLUMNS(Data!$I$1:J149)),"")</f>
        <v/>
      </c>
      <c r="D54" s="18" t="str">
        <f>IFERROR(INDEX(Data!$A$2:$E$101,Data!$L50,COLUMNS(Data!$I$1:K149)),"")</f>
        <v/>
      </c>
      <c r="E54" s="19" t="str">
        <f>IFERROR(INDEX(Data!$A$2:$E$101,Data!$L50,COLUMNS(Data!$I$1:L149)),"")</f>
        <v/>
      </c>
      <c r="F54" s="18" t="str">
        <f>IFERROR(INDEX(Data!$A$2:$E$101,Data!$L50,COLUMNS(Data!$I$1:M149)),"")</f>
        <v/>
      </c>
    </row>
    <row r="55" spans="2:6" x14ac:dyDescent="0.3">
      <c r="B55" s="18" t="str">
        <f>IFERROR(INDEX(Data!$A$2:$E$101,Data!$L51,COLUMNS(Data!$I$1:I150)),"")</f>
        <v/>
      </c>
      <c r="C55" s="18" t="str">
        <f>IFERROR(INDEX(Data!$A$2:$E$101,Data!$L51,COLUMNS(Data!$I$1:J150)),"")</f>
        <v/>
      </c>
      <c r="D55" s="18" t="str">
        <f>IFERROR(INDEX(Data!$A$2:$E$101,Data!$L51,COLUMNS(Data!$I$1:K150)),"")</f>
        <v/>
      </c>
      <c r="E55" s="19" t="str">
        <f>IFERROR(INDEX(Data!$A$2:$E$101,Data!$L51,COLUMNS(Data!$I$1:L150)),"")</f>
        <v/>
      </c>
      <c r="F55" s="18" t="str">
        <f>IFERROR(INDEX(Data!$A$2:$E$101,Data!$L51,COLUMNS(Data!$I$1:M150)),"")</f>
        <v/>
      </c>
    </row>
    <row r="56" spans="2:6" x14ac:dyDescent="0.3">
      <c r="B56" s="18" t="str">
        <f>IFERROR(INDEX(Data!$A$2:$E$101,Data!$L52,COLUMNS(Data!$I$1:I151)),"")</f>
        <v/>
      </c>
      <c r="C56" s="18" t="str">
        <f>IFERROR(INDEX(Data!$A$2:$E$101,Data!$L52,COLUMNS(Data!$I$1:J151)),"")</f>
        <v/>
      </c>
      <c r="D56" s="18" t="str">
        <f>IFERROR(INDEX(Data!$A$2:$E$101,Data!$L52,COLUMNS(Data!$I$1:K151)),"")</f>
        <v/>
      </c>
      <c r="E56" s="19" t="str">
        <f>IFERROR(INDEX(Data!$A$2:$E$101,Data!$L52,COLUMNS(Data!$I$1:L151)),"")</f>
        <v/>
      </c>
      <c r="F56" s="18" t="str">
        <f>IFERROR(INDEX(Data!$A$2:$E$101,Data!$L52,COLUMNS(Data!$I$1:M151)),"")</f>
        <v/>
      </c>
    </row>
    <row r="57" spans="2:6" x14ac:dyDescent="0.3">
      <c r="B57" s="18" t="str">
        <f>IFERROR(INDEX(Data!$A$2:$E$101,Data!$L53,COLUMNS(Data!$I$1:I152)),"")</f>
        <v/>
      </c>
      <c r="C57" s="18" t="str">
        <f>IFERROR(INDEX(Data!$A$2:$E$101,Data!$L53,COLUMNS(Data!$I$1:J152)),"")</f>
        <v/>
      </c>
      <c r="D57" s="18" t="str">
        <f>IFERROR(INDEX(Data!$A$2:$E$101,Data!$L53,COLUMNS(Data!$I$1:K152)),"")</f>
        <v/>
      </c>
      <c r="E57" s="19" t="str">
        <f>IFERROR(INDEX(Data!$A$2:$E$101,Data!$L53,COLUMNS(Data!$I$1:L152)),"")</f>
        <v/>
      </c>
      <c r="F57" s="18" t="str">
        <f>IFERROR(INDEX(Data!$A$2:$E$101,Data!$L53,COLUMNS(Data!$I$1:M152)),"")</f>
        <v/>
      </c>
    </row>
    <row r="58" spans="2:6" x14ac:dyDescent="0.3">
      <c r="B58" s="18" t="str">
        <f>IFERROR(INDEX(Data!$A$2:$E$101,Data!$L54,COLUMNS(Data!$I$1:I153)),"")</f>
        <v/>
      </c>
      <c r="C58" s="18" t="str">
        <f>IFERROR(INDEX(Data!$A$2:$E$101,Data!$L54,COLUMNS(Data!$I$1:J153)),"")</f>
        <v/>
      </c>
      <c r="D58" s="18" t="str">
        <f>IFERROR(INDEX(Data!$A$2:$E$101,Data!$L54,COLUMNS(Data!$I$1:K153)),"")</f>
        <v/>
      </c>
      <c r="E58" s="19" t="str">
        <f>IFERROR(INDEX(Data!$A$2:$E$101,Data!$L54,COLUMNS(Data!$I$1:L153)),"")</f>
        <v/>
      </c>
      <c r="F58" s="18" t="str">
        <f>IFERROR(INDEX(Data!$A$2:$E$101,Data!$L54,COLUMNS(Data!$I$1:M153)),"")</f>
        <v/>
      </c>
    </row>
    <row r="59" spans="2:6" x14ac:dyDescent="0.3">
      <c r="B59" s="18" t="str">
        <f>IFERROR(INDEX(Data!$A$2:$E$101,Data!$L55,COLUMNS(Data!$I$1:I154)),"")</f>
        <v/>
      </c>
      <c r="C59" s="18" t="str">
        <f>IFERROR(INDEX(Data!$A$2:$E$101,Data!$L55,COLUMNS(Data!$I$1:J154)),"")</f>
        <v/>
      </c>
      <c r="D59" s="18" t="str">
        <f>IFERROR(INDEX(Data!$A$2:$E$101,Data!$L55,COLUMNS(Data!$I$1:K154)),"")</f>
        <v/>
      </c>
      <c r="E59" s="19" t="str">
        <f>IFERROR(INDEX(Data!$A$2:$E$101,Data!$L55,COLUMNS(Data!$I$1:L154)),"")</f>
        <v/>
      </c>
      <c r="F59" s="18" t="str">
        <f>IFERROR(INDEX(Data!$A$2:$E$101,Data!$L55,COLUMNS(Data!$I$1:M154)),"")</f>
        <v/>
      </c>
    </row>
    <row r="60" spans="2:6" x14ac:dyDescent="0.3">
      <c r="B60" s="18" t="str">
        <f>IFERROR(INDEX(Data!$A$2:$E$101,Data!$L56,COLUMNS(Data!$I$1:I155)),"")</f>
        <v/>
      </c>
      <c r="C60" s="18" t="str">
        <f>IFERROR(INDEX(Data!$A$2:$E$101,Data!$L56,COLUMNS(Data!$I$1:J155)),"")</f>
        <v/>
      </c>
      <c r="D60" s="18" t="str">
        <f>IFERROR(INDEX(Data!$A$2:$E$101,Data!$L56,COLUMNS(Data!$I$1:K155)),"")</f>
        <v/>
      </c>
      <c r="E60" s="19" t="str">
        <f>IFERROR(INDEX(Data!$A$2:$E$101,Data!$L56,COLUMNS(Data!$I$1:L155)),"")</f>
        <v/>
      </c>
      <c r="F60" s="18" t="str">
        <f>IFERROR(INDEX(Data!$A$2:$E$101,Data!$L56,COLUMNS(Data!$I$1:M155)),"")</f>
        <v/>
      </c>
    </row>
    <row r="61" spans="2:6" x14ac:dyDescent="0.3">
      <c r="B61" s="18" t="str">
        <f>IFERROR(INDEX(Data!$A$2:$E$101,Data!$L57,COLUMNS(Data!$I$1:I156)),"")</f>
        <v/>
      </c>
      <c r="C61" s="18" t="str">
        <f>IFERROR(INDEX(Data!$A$2:$E$101,Data!$L57,COLUMNS(Data!$I$1:J156)),"")</f>
        <v/>
      </c>
      <c r="D61" s="18" t="str">
        <f>IFERROR(INDEX(Data!$A$2:$E$101,Data!$L57,COLUMNS(Data!$I$1:K156)),"")</f>
        <v/>
      </c>
      <c r="E61" s="19" t="str">
        <f>IFERROR(INDEX(Data!$A$2:$E$101,Data!$L57,COLUMNS(Data!$I$1:L156)),"")</f>
        <v/>
      </c>
      <c r="F61" s="18" t="str">
        <f>IFERROR(INDEX(Data!$A$2:$E$101,Data!$L57,COLUMNS(Data!$I$1:M156)),"")</f>
        <v/>
      </c>
    </row>
    <row r="62" spans="2:6" x14ac:dyDescent="0.3">
      <c r="B62" s="18" t="str">
        <f>IFERROR(INDEX(Data!$A$2:$E$101,Data!$L58,COLUMNS(Data!$I$1:I157)),"")</f>
        <v/>
      </c>
      <c r="C62" s="18" t="str">
        <f>IFERROR(INDEX(Data!$A$2:$E$101,Data!$L58,COLUMNS(Data!$I$1:J157)),"")</f>
        <v/>
      </c>
      <c r="D62" s="18" t="str">
        <f>IFERROR(INDEX(Data!$A$2:$E$101,Data!$L58,COLUMNS(Data!$I$1:K157)),"")</f>
        <v/>
      </c>
      <c r="E62" s="19" t="str">
        <f>IFERROR(INDEX(Data!$A$2:$E$101,Data!$L58,COLUMNS(Data!$I$1:L157)),"")</f>
        <v/>
      </c>
      <c r="F62" s="18" t="str">
        <f>IFERROR(INDEX(Data!$A$2:$E$101,Data!$L58,COLUMNS(Data!$I$1:M157)),"")</f>
        <v/>
      </c>
    </row>
    <row r="63" spans="2:6" x14ac:dyDescent="0.3">
      <c r="B63" s="18" t="str">
        <f>IFERROR(INDEX(Data!$A$2:$E$101,Data!$L59,COLUMNS(Data!$I$1:I158)),"")</f>
        <v/>
      </c>
      <c r="C63" s="18" t="str">
        <f>IFERROR(INDEX(Data!$A$2:$E$101,Data!$L59,COLUMNS(Data!$I$1:J158)),"")</f>
        <v/>
      </c>
      <c r="D63" s="18" t="str">
        <f>IFERROR(INDEX(Data!$A$2:$E$101,Data!$L59,COLUMNS(Data!$I$1:K158)),"")</f>
        <v/>
      </c>
      <c r="E63" s="19" t="str">
        <f>IFERROR(INDEX(Data!$A$2:$E$101,Data!$L59,COLUMNS(Data!$I$1:L158)),"")</f>
        <v/>
      </c>
      <c r="F63" s="18" t="str">
        <f>IFERROR(INDEX(Data!$A$2:$E$101,Data!$L59,COLUMNS(Data!$I$1:M158)),"")</f>
        <v/>
      </c>
    </row>
    <row r="64" spans="2:6" x14ac:dyDescent="0.3">
      <c r="B64" s="18" t="str">
        <f>IFERROR(INDEX(Data!$A$2:$E$101,Data!$L60,COLUMNS(Data!$I$1:I159)),"")</f>
        <v/>
      </c>
      <c r="C64" s="18" t="str">
        <f>IFERROR(INDEX(Data!$A$2:$E$101,Data!$L60,COLUMNS(Data!$I$1:J159)),"")</f>
        <v/>
      </c>
      <c r="D64" s="18" t="str">
        <f>IFERROR(INDEX(Data!$A$2:$E$101,Data!$L60,COLUMNS(Data!$I$1:K159)),"")</f>
        <v/>
      </c>
      <c r="E64" s="19" t="str">
        <f>IFERROR(INDEX(Data!$A$2:$E$101,Data!$L60,COLUMNS(Data!$I$1:L159)),"")</f>
        <v/>
      </c>
      <c r="F64" s="18" t="str">
        <f>IFERROR(INDEX(Data!$A$2:$E$101,Data!$L60,COLUMNS(Data!$I$1:M159)),"")</f>
        <v/>
      </c>
    </row>
    <row r="65" spans="2:6" x14ac:dyDescent="0.3">
      <c r="B65" s="18" t="str">
        <f>IFERROR(INDEX(Data!$A$2:$E$101,Data!$L61,COLUMNS(Data!$I$1:I160)),"")</f>
        <v/>
      </c>
      <c r="C65" s="18" t="str">
        <f>IFERROR(INDEX(Data!$A$2:$E$101,Data!$L61,COLUMNS(Data!$I$1:J160)),"")</f>
        <v/>
      </c>
      <c r="D65" s="18" t="str">
        <f>IFERROR(INDEX(Data!$A$2:$E$101,Data!$L61,COLUMNS(Data!$I$1:K160)),"")</f>
        <v/>
      </c>
      <c r="E65" s="19" t="str">
        <f>IFERROR(INDEX(Data!$A$2:$E$101,Data!$L61,COLUMNS(Data!$I$1:L160)),"")</f>
        <v/>
      </c>
      <c r="F65" s="18" t="str">
        <f>IFERROR(INDEX(Data!$A$2:$E$101,Data!$L61,COLUMNS(Data!$I$1:M160)),"")</f>
        <v/>
      </c>
    </row>
    <row r="66" spans="2:6" x14ac:dyDescent="0.3">
      <c r="B66" s="18" t="str">
        <f>IFERROR(INDEX(Data!$A$2:$E$101,Data!$L62,COLUMNS(Data!$I$1:I161)),"")</f>
        <v/>
      </c>
      <c r="C66" s="18" t="str">
        <f>IFERROR(INDEX(Data!$A$2:$E$101,Data!$L62,COLUMNS(Data!$I$1:J161)),"")</f>
        <v/>
      </c>
      <c r="D66" s="18" t="str">
        <f>IFERROR(INDEX(Data!$A$2:$E$101,Data!$L62,COLUMNS(Data!$I$1:K161)),"")</f>
        <v/>
      </c>
      <c r="E66" s="19" t="str">
        <f>IFERROR(INDEX(Data!$A$2:$E$101,Data!$L62,COLUMNS(Data!$I$1:L161)),"")</f>
        <v/>
      </c>
      <c r="F66" s="18" t="str">
        <f>IFERROR(INDEX(Data!$A$2:$E$101,Data!$L62,COLUMNS(Data!$I$1:M161)),"")</f>
        <v/>
      </c>
    </row>
    <row r="67" spans="2:6" x14ac:dyDescent="0.3">
      <c r="B67" s="18" t="str">
        <f>IFERROR(INDEX(Data!$A$2:$E$101,Data!$L63,COLUMNS(Data!$I$1:I162)),"")</f>
        <v/>
      </c>
      <c r="C67" s="18" t="str">
        <f>IFERROR(INDEX(Data!$A$2:$E$101,Data!$L63,COLUMNS(Data!$I$1:J162)),"")</f>
        <v/>
      </c>
      <c r="D67" s="18" t="str">
        <f>IFERROR(INDEX(Data!$A$2:$E$101,Data!$L63,COLUMNS(Data!$I$1:K162)),"")</f>
        <v/>
      </c>
      <c r="E67" s="19" t="str">
        <f>IFERROR(INDEX(Data!$A$2:$E$101,Data!$L63,COLUMNS(Data!$I$1:L162)),"")</f>
        <v/>
      </c>
      <c r="F67" s="18" t="str">
        <f>IFERROR(INDEX(Data!$A$2:$E$101,Data!$L63,COLUMNS(Data!$I$1:M162)),"")</f>
        <v/>
      </c>
    </row>
    <row r="68" spans="2:6" x14ac:dyDescent="0.3">
      <c r="B68" s="18" t="str">
        <f>IFERROR(INDEX(Data!$A$2:$E$101,Data!$L64,COLUMNS(Data!$I$1:I163)),"")</f>
        <v/>
      </c>
      <c r="C68" s="18" t="str">
        <f>IFERROR(INDEX(Data!$A$2:$E$101,Data!$L64,COLUMNS(Data!$I$1:J163)),"")</f>
        <v/>
      </c>
      <c r="D68" s="18" t="str">
        <f>IFERROR(INDEX(Data!$A$2:$E$101,Data!$L64,COLUMNS(Data!$I$1:K163)),"")</f>
        <v/>
      </c>
      <c r="E68" s="19" t="str">
        <f>IFERROR(INDEX(Data!$A$2:$E$101,Data!$L64,COLUMNS(Data!$I$1:L163)),"")</f>
        <v/>
      </c>
      <c r="F68" s="18" t="str">
        <f>IFERROR(INDEX(Data!$A$2:$E$101,Data!$L64,COLUMNS(Data!$I$1:M163)),"")</f>
        <v/>
      </c>
    </row>
    <row r="69" spans="2:6" x14ac:dyDescent="0.3">
      <c r="B69" s="18" t="str">
        <f>IFERROR(INDEX(Data!$A$2:$E$101,Data!$L65,COLUMNS(Data!$I$1:I164)),"")</f>
        <v/>
      </c>
      <c r="C69" s="18" t="str">
        <f>IFERROR(INDEX(Data!$A$2:$E$101,Data!$L65,COLUMNS(Data!$I$1:J164)),"")</f>
        <v/>
      </c>
      <c r="D69" s="18" t="str">
        <f>IFERROR(INDEX(Data!$A$2:$E$101,Data!$L65,COLUMNS(Data!$I$1:K164)),"")</f>
        <v/>
      </c>
      <c r="E69" s="19" t="str">
        <f>IFERROR(INDEX(Data!$A$2:$E$101,Data!$L65,COLUMNS(Data!$I$1:L164)),"")</f>
        <v/>
      </c>
      <c r="F69" s="18" t="str">
        <f>IFERROR(INDEX(Data!$A$2:$E$101,Data!$L65,COLUMNS(Data!$I$1:M164)),"")</f>
        <v/>
      </c>
    </row>
    <row r="70" spans="2:6" x14ac:dyDescent="0.3">
      <c r="B70" s="18" t="str">
        <f>IFERROR(INDEX(Data!$A$2:$E$101,Data!$L66,COLUMNS(Data!$I$1:I165)),"")</f>
        <v/>
      </c>
      <c r="C70" s="18" t="str">
        <f>IFERROR(INDEX(Data!$A$2:$E$101,Data!$L66,COLUMNS(Data!$I$1:J165)),"")</f>
        <v/>
      </c>
      <c r="D70" s="18" t="str">
        <f>IFERROR(INDEX(Data!$A$2:$E$101,Data!$L66,COLUMNS(Data!$I$1:K165)),"")</f>
        <v/>
      </c>
      <c r="E70" s="19" t="str">
        <f>IFERROR(INDEX(Data!$A$2:$E$101,Data!$L66,COLUMNS(Data!$I$1:L165)),"")</f>
        <v/>
      </c>
      <c r="F70" s="18" t="str">
        <f>IFERROR(INDEX(Data!$A$2:$E$101,Data!$L66,COLUMNS(Data!$I$1:M165)),"")</f>
        <v/>
      </c>
    </row>
    <row r="71" spans="2:6" x14ac:dyDescent="0.3">
      <c r="B71" s="18" t="str">
        <f>IFERROR(INDEX(Data!$A$2:$E$101,Data!$L67,COLUMNS(Data!$I$1:I166)),"")</f>
        <v/>
      </c>
      <c r="C71" s="18" t="str">
        <f>IFERROR(INDEX(Data!$A$2:$E$101,Data!$L67,COLUMNS(Data!$I$1:J166)),"")</f>
        <v/>
      </c>
      <c r="D71" s="18" t="str">
        <f>IFERROR(INDEX(Data!$A$2:$E$101,Data!$L67,COLUMNS(Data!$I$1:K166)),"")</f>
        <v/>
      </c>
      <c r="E71" s="19" t="str">
        <f>IFERROR(INDEX(Data!$A$2:$E$101,Data!$L67,COLUMNS(Data!$I$1:L166)),"")</f>
        <v/>
      </c>
      <c r="F71" s="18" t="str">
        <f>IFERROR(INDEX(Data!$A$2:$E$101,Data!$L67,COLUMNS(Data!$I$1:M166)),"")</f>
        <v/>
      </c>
    </row>
    <row r="72" spans="2:6" x14ac:dyDescent="0.3">
      <c r="B72" s="18" t="str">
        <f>IFERROR(INDEX(Data!$A$2:$E$101,Data!$L68,COLUMNS(Data!$I$1:I167)),"")</f>
        <v/>
      </c>
      <c r="C72" s="18" t="str">
        <f>IFERROR(INDEX(Data!$A$2:$E$101,Data!$L68,COLUMNS(Data!$I$1:J167)),"")</f>
        <v/>
      </c>
      <c r="D72" s="18" t="str">
        <f>IFERROR(INDEX(Data!$A$2:$E$101,Data!$L68,COLUMNS(Data!$I$1:K167)),"")</f>
        <v/>
      </c>
      <c r="E72" s="19" t="str">
        <f>IFERROR(INDEX(Data!$A$2:$E$101,Data!$L68,COLUMNS(Data!$I$1:L167)),"")</f>
        <v/>
      </c>
      <c r="F72" s="18" t="str">
        <f>IFERROR(INDEX(Data!$A$2:$E$101,Data!$L68,COLUMNS(Data!$I$1:M167)),"")</f>
        <v/>
      </c>
    </row>
    <row r="73" spans="2:6" x14ac:dyDescent="0.3">
      <c r="B73" s="18" t="str">
        <f>IFERROR(INDEX(Data!$A$2:$E$101,Data!$L69,COLUMNS(Data!$I$1:I168)),"")</f>
        <v/>
      </c>
      <c r="C73" s="18" t="str">
        <f>IFERROR(INDEX(Data!$A$2:$E$101,Data!$L69,COLUMNS(Data!$I$1:J168)),"")</f>
        <v/>
      </c>
      <c r="D73" s="18" t="str">
        <f>IFERROR(INDEX(Data!$A$2:$E$101,Data!$L69,COLUMNS(Data!$I$1:K168)),"")</f>
        <v/>
      </c>
      <c r="E73" s="19" t="str">
        <f>IFERROR(INDEX(Data!$A$2:$E$101,Data!$L69,COLUMNS(Data!$I$1:L168)),"")</f>
        <v/>
      </c>
      <c r="F73" s="18" t="str">
        <f>IFERROR(INDEX(Data!$A$2:$E$101,Data!$L69,COLUMNS(Data!$I$1:M168)),"")</f>
        <v/>
      </c>
    </row>
    <row r="74" spans="2:6" x14ac:dyDescent="0.3">
      <c r="B74" s="18" t="str">
        <f>IFERROR(INDEX(Data!$A$2:$E$101,Data!$L70,COLUMNS(Data!$I$1:I169)),"")</f>
        <v/>
      </c>
      <c r="C74" s="18" t="str">
        <f>IFERROR(INDEX(Data!$A$2:$E$101,Data!$L70,COLUMNS(Data!$I$1:J169)),"")</f>
        <v/>
      </c>
      <c r="D74" s="18" t="str">
        <f>IFERROR(INDEX(Data!$A$2:$E$101,Data!$L70,COLUMNS(Data!$I$1:K169)),"")</f>
        <v/>
      </c>
      <c r="E74" s="19" t="str">
        <f>IFERROR(INDEX(Data!$A$2:$E$101,Data!$L70,COLUMNS(Data!$I$1:L169)),"")</f>
        <v/>
      </c>
      <c r="F74" s="18" t="str">
        <f>IFERROR(INDEX(Data!$A$2:$E$101,Data!$L70,COLUMNS(Data!$I$1:M169)),"")</f>
        <v/>
      </c>
    </row>
    <row r="75" spans="2:6" x14ac:dyDescent="0.3">
      <c r="B75" s="18" t="str">
        <f>IFERROR(INDEX(Data!$A$2:$E$101,Data!$L71,COLUMNS(Data!$I$1:I170)),"")</f>
        <v/>
      </c>
      <c r="C75" s="18" t="str">
        <f>IFERROR(INDEX(Data!$A$2:$E$101,Data!$L71,COLUMNS(Data!$I$1:J170)),"")</f>
        <v/>
      </c>
      <c r="D75" s="18" t="str">
        <f>IFERROR(INDEX(Data!$A$2:$E$101,Data!$L71,COLUMNS(Data!$I$1:K170)),"")</f>
        <v/>
      </c>
      <c r="E75" s="19" t="str">
        <f>IFERROR(INDEX(Data!$A$2:$E$101,Data!$L71,COLUMNS(Data!$I$1:L170)),"")</f>
        <v/>
      </c>
      <c r="F75" s="18" t="str">
        <f>IFERROR(INDEX(Data!$A$2:$E$101,Data!$L71,COLUMNS(Data!$I$1:M170)),"")</f>
        <v/>
      </c>
    </row>
    <row r="76" spans="2:6" x14ac:dyDescent="0.3">
      <c r="B76" s="18" t="str">
        <f>IFERROR(INDEX(Data!$A$2:$E$101,Data!$L72,COLUMNS(Data!$I$1:I171)),"")</f>
        <v/>
      </c>
      <c r="C76" s="18" t="str">
        <f>IFERROR(INDEX(Data!$A$2:$E$101,Data!$L72,COLUMNS(Data!$I$1:J171)),"")</f>
        <v/>
      </c>
      <c r="D76" s="18" t="str">
        <f>IFERROR(INDEX(Data!$A$2:$E$101,Data!$L72,COLUMNS(Data!$I$1:K171)),"")</f>
        <v/>
      </c>
      <c r="E76" s="19" t="str">
        <f>IFERROR(INDEX(Data!$A$2:$E$101,Data!$L72,COLUMNS(Data!$I$1:L171)),"")</f>
        <v/>
      </c>
      <c r="F76" s="18" t="str">
        <f>IFERROR(INDEX(Data!$A$2:$E$101,Data!$L72,COLUMNS(Data!$I$1:M171)),"")</f>
        <v/>
      </c>
    </row>
    <row r="77" spans="2:6" x14ac:dyDescent="0.3">
      <c r="B77" s="18" t="str">
        <f>IFERROR(INDEX(Data!$A$2:$E$101,Data!$L73,COLUMNS(Data!$I$1:I172)),"")</f>
        <v/>
      </c>
      <c r="C77" s="18" t="str">
        <f>IFERROR(INDEX(Data!$A$2:$E$101,Data!$L73,COLUMNS(Data!$I$1:J172)),"")</f>
        <v/>
      </c>
      <c r="D77" s="18" t="str">
        <f>IFERROR(INDEX(Data!$A$2:$E$101,Data!$L73,COLUMNS(Data!$I$1:K172)),"")</f>
        <v/>
      </c>
      <c r="E77" s="19" t="str">
        <f>IFERROR(INDEX(Data!$A$2:$E$101,Data!$L73,COLUMNS(Data!$I$1:L172)),"")</f>
        <v/>
      </c>
      <c r="F77" s="18" t="str">
        <f>IFERROR(INDEX(Data!$A$2:$E$101,Data!$L73,COLUMNS(Data!$I$1:M172)),"")</f>
        <v/>
      </c>
    </row>
    <row r="78" spans="2:6" x14ac:dyDescent="0.3">
      <c r="B78" s="18" t="str">
        <f>IFERROR(INDEX(Data!$A$2:$E$101,Data!$L74,COLUMNS(Data!$I$1:I173)),"")</f>
        <v/>
      </c>
      <c r="C78" s="18" t="str">
        <f>IFERROR(INDEX(Data!$A$2:$E$101,Data!$L74,COLUMNS(Data!$I$1:J173)),"")</f>
        <v/>
      </c>
      <c r="D78" s="18" t="str">
        <f>IFERROR(INDEX(Data!$A$2:$E$101,Data!$L74,COLUMNS(Data!$I$1:K173)),"")</f>
        <v/>
      </c>
      <c r="E78" s="19" t="str">
        <f>IFERROR(INDEX(Data!$A$2:$E$101,Data!$L74,COLUMNS(Data!$I$1:L173)),"")</f>
        <v/>
      </c>
      <c r="F78" s="18" t="str">
        <f>IFERROR(INDEX(Data!$A$2:$E$101,Data!$L74,COLUMNS(Data!$I$1:M173)),"")</f>
        <v/>
      </c>
    </row>
    <row r="79" spans="2:6" x14ac:dyDescent="0.3">
      <c r="B79" s="18" t="str">
        <f>IFERROR(INDEX(Data!$A$2:$E$101,Data!$L75,COLUMNS(Data!$I$1:I174)),"")</f>
        <v/>
      </c>
      <c r="C79" s="18" t="str">
        <f>IFERROR(INDEX(Data!$A$2:$E$101,Data!$L75,COLUMNS(Data!$I$1:J174)),"")</f>
        <v/>
      </c>
      <c r="D79" s="18" t="str">
        <f>IFERROR(INDEX(Data!$A$2:$E$101,Data!$L75,COLUMNS(Data!$I$1:K174)),"")</f>
        <v/>
      </c>
      <c r="E79" s="19" t="str">
        <f>IFERROR(INDEX(Data!$A$2:$E$101,Data!$L75,COLUMNS(Data!$I$1:L174)),"")</f>
        <v/>
      </c>
      <c r="F79" s="18" t="str">
        <f>IFERROR(INDEX(Data!$A$2:$E$101,Data!$L75,COLUMNS(Data!$I$1:M174)),"")</f>
        <v/>
      </c>
    </row>
    <row r="80" spans="2:6" x14ac:dyDescent="0.3">
      <c r="B80" s="18" t="str">
        <f>IFERROR(INDEX(Data!$A$2:$E$101,Data!$L76,COLUMNS(Data!$I$1:I175)),"")</f>
        <v/>
      </c>
      <c r="C80" s="18" t="str">
        <f>IFERROR(INDEX(Data!$A$2:$E$101,Data!$L76,COLUMNS(Data!$I$1:J175)),"")</f>
        <v/>
      </c>
      <c r="D80" s="18" t="str">
        <f>IFERROR(INDEX(Data!$A$2:$E$101,Data!$L76,COLUMNS(Data!$I$1:K175)),"")</f>
        <v/>
      </c>
      <c r="E80" s="19" t="str">
        <f>IFERROR(INDEX(Data!$A$2:$E$101,Data!$L76,COLUMNS(Data!$I$1:L175)),"")</f>
        <v/>
      </c>
      <c r="F80" s="18" t="str">
        <f>IFERROR(INDEX(Data!$A$2:$E$101,Data!$L76,COLUMNS(Data!$I$1:M175)),"")</f>
        <v/>
      </c>
    </row>
    <row r="81" spans="2:6" x14ac:dyDescent="0.3">
      <c r="B81" s="18" t="str">
        <f>IFERROR(INDEX(Data!$A$2:$E$101,Data!$L77,COLUMNS(Data!$I$1:I176)),"")</f>
        <v/>
      </c>
      <c r="C81" s="18" t="str">
        <f>IFERROR(INDEX(Data!$A$2:$E$101,Data!$L77,COLUMNS(Data!$I$1:J176)),"")</f>
        <v/>
      </c>
      <c r="D81" s="18" t="str">
        <f>IFERROR(INDEX(Data!$A$2:$E$101,Data!$L77,COLUMNS(Data!$I$1:K176)),"")</f>
        <v/>
      </c>
      <c r="E81" s="19" t="str">
        <f>IFERROR(INDEX(Data!$A$2:$E$101,Data!$L77,COLUMNS(Data!$I$1:L176)),"")</f>
        <v/>
      </c>
      <c r="F81" s="18" t="str">
        <f>IFERROR(INDEX(Data!$A$2:$E$101,Data!$L77,COLUMNS(Data!$I$1:M176)),"")</f>
        <v/>
      </c>
    </row>
    <row r="82" spans="2:6" x14ac:dyDescent="0.3">
      <c r="B82" s="18" t="str">
        <f>IFERROR(INDEX(Data!$A$2:$E$101,Data!$L78,COLUMNS(Data!$I$1:I177)),"")</f>
        <v/>
      </c>
      <c r="C82" s="18" t="str">
        <f>IFERROR(INDEX(Data!$A$2:$E$101,Data!$L78,COLUMNS(Data!$I$1:J177)),"")</f>
        <v/>
      </c>
      <c r="D82" s="18" t="str">
        <f>IFERROR(INDEX(Data!$A$2:$E$101,Data!$L78,COLUMNS(Data!$I$1:K177)),"")</f>
        <v/>
      </c>
      <c r="E82" s="19" t="str">
        <f>IFERROR(INDEX(Data!$A$2:$E$101,Data!$L78,COLUMNS(Data!$I$1:L177)),"")</f>
        <v/>
      </c>
      <c r="F82" s="18" t="str">
        <f>IFERROR(INDEX(Data!$A$2:$E$101,Data!$L78,COLUMNS(Data!$I$1:M177)),"")</f>
        <v/>
      </c>
    </row>
    <row r="83" spans="2:6" x14ac:dyDescent="0.3">
      <c r="B83" s="18" t="str">
        <f>IFERROR(INDEX(Data!$A$2:$E$101,Data!$L79,COLUMNS(Data!$I$1:I178)),"")</f>
        <v/>
      </c>
      <c r="C83" s="18" t="str">
        <f>IFERROR(INDEX(Data!$A$2:$E$101,Data!$L79,COLUMNS(Data!$I$1:J178)),"")</f>
        <v/>
      </c>
      <c r="D83" s="18" t="str">
        <f>IFERROR(INDEX(Data!$A$2:$E$101,Data!$L79,COLUMNS(Data!$I$1:K178)),"")</f>
        <v/>
      </c>
      <c r="E83" s="19" t="str">
        <f>IFERROR(INDEX(Data!$A$2:$E$101,Data!$L79,COLUMNS(Data!$I$1:L178)),"")</f>
        <v/>
      </c>
      <c r="F83" s="18" t="str">
        <f>IFERROR(INDEX(Data!$A$2:$E$101,Data!$L79,COLUMNS(Data!$I$1:M178)),"")</f>
        <v/>
      </c>
    </row>
    <row r="84" spans="2:6" x14ac:dyDescent="0.3">
      <c r="B84" s="18" t="str">
        <f>IFERROR(INDEX(Data!$A$2:$E$101,Data!$L80,COLUMNS(Data!$I$1:I179)),"")</f>
        <v/>
      </c>
      <c r="C84" s="18" t="str">
        <f>IFERROR(INDEX(Data!$A$2:$E$101,Data!$L80,COLUMNS(Data!$I$1:J179)),"")</f>
        <v/>
      </c>
      <c r="D84" s="18" t="str">
        <f>IFERROR(INDEX(Data!$A$2:$E$101,Data!$L80,COLUMNS(Data!$I$1:K179)),"")</f>
        <v/>
      </c>
      <c r="E84" s="19" t="str">
        <f>IFERROR(INDEX(Data!$A$2:$E$101,Data!$L80,COLUMNS(Data!$I$1:L179)),"")</f>
        <v/>
      </c>
      <c r="F84" s="18" t="str">
        <f>IFERROR(INDEX(Data!$A$2:$E$101,Data!$L80,COLUMNS(Data!$I$1:M179)),"")</f>
        <v/>
      </c>
    </row>
    <row r="85" spans="2:6" x14ac:dyDescent="0.3">
      <c r="B85" s="18" t="str">
        <f>IFERROR(INDEX(Data!$A$2:$E$101,Data!$L81,COLUMNS(Data!$I$1:I180)),"")</f>
        <v/>
      </c>
      <c r="C85" s="18" t="str">
        <f>IFERROR(INDEX(Data!$A$2:$E$101,Data!$L81,COLUMNS(Data!$I$1:J180)),"")</f>
        <v/>
      </c>
      <c r="D85" s="18" t="str">
        <f>IFERROR(INDEX(Data!$A$2:$E$101,Data!$L81,COLUMNS(Data!$I$1:K180)),"")</f>
        <v/>
      </c>
      <c r="E85" s="19" t="str">
        <f>IFERROR(INDEX(Data!$A$2:$E$101,Data!$L81,COLUMNS(Data!$I$1:L180)),"")</f>
        <v/>
      </c>
      <c r="F85" s="18" t="str">
        <f>IFERROR(INDEX(Data!$A$2:$E$101,Data!$L81,COLUMNS(Data!$I$1:M180)),"")</f>
        <v/>
      </c>
    </row>
    <row r="86" spans="2:6" x14ac:dyDescent="0.3">
      <c r="B86" s="18" t="str">
        <f>IFERROR(INDEX(Data!$A$2:$E$101,Data!$L82,COLUMNS(Data!$I$1:I181)),"")</f>
        <v/>
      </c>
      <c r="C86" s="18" t="str">
        <f>IFERROR(INDEX(Data!$A$2:$E$101,Data!$L82,COLUMNS(Data!$I$1:J181)),"")</f>
        <v/>
      </c>
      <c r="D86" s="18" t="str">
        <f>IFERROR(INDEX(Data!$A$2:$E$101,Data!$L82,COLUMNS(Data!$I$1:K181)),"")</f>
        <v/>
      </c>
      <c r="E86" s="19" t="str">
        <f>IFERROR(INDEX(Data!$A$2:$E$101,Data!$L82,COLUMNS(Data!$I$1:L181)),"")</f>
        <v/>
      </c>
      <c r="F86" s="18" t="str">
        <f>IFERROR(INDEX(Data!$A$2:$E$101,Data!$L82,COLUMNS(Data!$I$1:M181)),"")</f>
        <v/>
      </c>
    </row>
    <row r="87" spans="2:6" x14ac:dyDescent="0.3">
      <c r="B87" s="18" t="str">
        <f>IFERROR(INDEX(Data!$A$2:$E$101,Data!$L83,COLUMNS(Data!$I$1:I182)),"")</f>
        <v/>
      </c>
      <c r="C87" s="18" t="str">
        <f>IFERROR(INDEX(Data!$A$2:$E$101,Data!$L83,COLUMNS(Data!$I$1:J182)),"")</f>
        <v/>
      </c>
      <c r="D87" s="18" t="str">
        <f>IFERROR(INDEX(Data!$A$2:$E$101,Data!$L83,COLUMNS(Data!$I$1:K182)),"")</f>
        <v/>
      </c>
      <c r="E87" s="19" t="str">
        <f>IFERROR(INDEX(Data!$A$2:$E$101,Data!$L83,COLUMNS(Data!$I$1:L182)),"")</f>
        <v/>
      </c>
      <c r="F87" s="18" t="str">
        <f>IFERROR(INDEX(Data!$A$2:$E$101,Data!$L83,COLUMNS(Data!$I$1:M182)),"")</f>
        <v/>
      </c>
    </row>
    <row r="88" spans="2:6" x14ac:dyDescent="0.3">
      <c r="B88" s="18" t="str">
        <f>IFERROR(INDEX(Data!$A$2:$E$101,Data!$L84,COLUMNS(Data!$I$1:I183)),"")</f>
        <v/>
      </c>
      <c r="C88" s="18" t="str">
        <f>IFERROR(INDEX(Data!$A$2:$E$101,Data!$L84,COLUMNS(Data!$I$1:J183)),"")</f>
        <v/>
      </c>
      <c r="D88" s="18" t="str">
        <f>IFERROR(INDEX(Data!$A$2:$E$101,Data!$L84,COLUMNS(Data!$I$1:K183)),"")</f>
        <v/>
      </c>
      <c r="E88" s="19" t="str">
        <f>IFERROR(INDEX(Data!$A$2:$E$101,Data!$L84,COLUMNS(Data!$I$1:L183)),"")</f>
        <v/>
      </c>
      <c r="F88" s="18" t="str">
        <f>IFERROR(INDEX(Data!$A$2:$E$101,Data!$L84,COLUMNS(Data!$I$1:M183)),"")</f>
        <v/>
      </c>
    </row>
    <row r="89" spans="2:6" x14ac:dyDescent="0.3">
      <c r="B89" s="18" t="str">
        <f>IFERROR(INDEX(Data!$A$2:$E$101,Data!$L85,COLUMNS(Data!$I$1:I184)),"")</f>
        <v/>
      </c>
      <c r="C89" s="18" t="str">
        <f>IFERROR(INDEX(Data!$A$2:$E$101,Data!$L85,COLUMNS(Data!$I$1:J184)),"")</f>
        <v/>
      </c>
      <c r="D89" s="18" t="str">
        <f>IFERROR(INDEX(Data!$A$2:$E$101,Data!$L85,COLUMNS(Data!$I$1:K184)),"")</f>
        <v/>
      </c>
      <c r="E89" s="19" t="str">
        <f>IFERROR(INDEX(Data!$A$2:$E$101,Data!$L85,COLUMNS(Data!$I$1:L184)),"")</f>
        <v/>
      </c>
      <c r="F89" s="18" t="str">
        <f>IFERROR(INDEX(Data!$A$2:$E$101,Data!$L85,COLUMNS(Data!$I$1:M184)),"")</f>
        <v/>
      </c>
    </row>
    <row r="90" spans="2:6" x14ac:dyDescent="0.3">
      <c r="B90" s="18" t="str">
        <f>IFERROR(INDEX(Data!$A$2:$E$101,Data!$L86,COLUMNS(Data!$I$1:I185)),"")</f>
        <v/>
      </c>
      <c r="C90" s="18" t="str">
        <f>IFERROR(INDEX(Data!$A$2:$E$101,Data!$L86,COLUMNS(Data!$I$1:J185)),"")</f>
        <v/>
      </c>
      <c r="D90" s="18" t="str">
        <f>IFERROR(INDEX(Data!$A$2:$E$101,Data!$L86,COLUMNS(Data!$I$1:K185)),"")</f>
        <v/>
      </c>
      <c r="E90" s="19" t="str">
        <f>IFERROR(INDEX(Data!$A$2:$E$101,Data!$L86,COLUMNS(Data!$I$1:L185)),"")</f>
        <v/>
      </c>
      <c r="F90" s="18" t="str">
        <f>IFERROR(INDEX(Data!$A$2:$E$101,Data!$L86,COLUMNS(Data!$I$1:M185)),"")</f>
        <v/>
      </c>
    </row>
    <row r="91" spans="2:6" x14ac:dyDescent="0.3">
      <c r="B91" s="18" t="str">
        <f>IFERROR(INDEX(Data!$A$2:$E$101,Data!$L87,COLUMNS(Data!$I$1:I186)),"")</f>
        <v/>
      </c>
      <c r="C91" s="18" t="str">
        <f>IFERROR(INDEX(Data!$A$2:$E$101,Data!$L87,COLUMNS(Data!$I$1:J186)),"")</f>
        <v/>
      </c>
      <c r="D91" s="18" t="str">
        <f>IFERROR(INDEX(Data!$A$2:$E$101,Data!$L87,COLUMNS(Data!$I$1:K186)),"")</f>
        <v/>
      </c>
      <c r="E91" s="19" t="str">
        <f>IFERROR(INDEX(Data!$A$2:$E$101,Data!$L87,COLUMNS(Data!$I$1:L186)),"")</f>
        <v/>
      </c>
      <c r="F91" s="18" t="str">
        <f>IFERROR(INDEX(Data!$A$2:$E$101,Data!$L87,COLUMNS(Data!$I$1:M186)),"")</f>
        <v/>
      </c>
    </row>
    <row r="92" spans="2:6" x14ac:dyDescent="0.3">
      <c r="B92" s="18" t="str">
        <f>IFERROR(INDEX(Data!$A$2:$E$101,Data!$L88,COLUMNS(Data!$I$1:I187)),"")</f>
        <v/>
      </c>
      <c r="C92" s="18" t="str">
        <f>IFERROR(INDEX(Data!$A$2:$E$101,Data!$L88,COLUMNS(Data!$I$1:J187)),"")</f>
        <v/>
      </c>
      <c r="D92" s="18" t="str">
        <f>IFERROR(INDEX(Data!$A$2:$E$101,Data!$L88,COLUMNS(Data!$I$1:K187)),"")</f>
        <v/>
      </c>
      <c r="E92" s="19" t="str">
        <f>IFERROR(INDEX(Data!$A$2:$E$101,Data!$L88,COLUMNS(Data!$I$1:L187)),"")</f>
        <v/>
      </c>
      <c r="F92" s="18" t="str">
        <f>IFERROR(INDEX(Data!$A$2:$E$101,Data!$L88,COLUMNS(Data!$I$1:M187)),"")</f>
        <v/>
      </c>
    </row>
    <row r="93" spans="2:6" x14ac:dyDescent="0.3">
      <c r="B93" s="18" t="str">
        <f>IFERROR(INDEX(Data!$A$2:$E$101,Data!$L89,COLUMNS(Data!$I$1:I188)),"")</f>
        <v/>
      </c>
      <c r="C93" s="18" t="str">
        <f>IFERROR(INDEX(Data!$A$2:$E$101,Data!$L89,COLUMNS(Data!$I$1:J188)),"")</f>
        <v/>
      </c>
      <c r="D93" s="18" t="str">
        <f>IFERROR(INDEX(Data!$A$2:$E$101,Data!$L89,COLUMNS(Data!$I$1:K188)),"")</f>
        <v/>
      </c>
      <c r="E93" s="19" t="str">
        <f>IFERROR(INDEX(Data!$A$2:$E$101,Data!$L89,COLUMNS(Data!$I$1:L188)),"")</f>
        <v/>
      </c>
      <c r="F93" s="18" t="str">
        <f>IFERROR(INDEX(Data!$A$2:$E$101,Data!$L89,COLUMNS(Data!$I$1:M188)),"")</f>
        <v/>
      </c>
    </row>
    <row r="94" spans="2:6" x14ac:dyDescent="0.3">
      <c r="B94" s="18" t="str">
        <f>IFERROR(INDEX(Data!$A$2:$E$101,Data!$L90,COLUMNS(Data!$I$1:I189)),"")</f>
        <v/>
      </c>
      <c r="C94" s="18" t="str">
        <f>IFERROR(INDEX(Data!$A$2:$E$101,Data!$L90,COLUMNS(Data!$I$1:J189)),"")</f>
        <v/>
      </c>
      <c r="D94" s="18" t="str">
        <f>IFERROR(INDEX(Data!$A$2:$E$101,Data!$L90,COLUMNS(Data!$I$1:K189)),"")</f>
        <v/>
      </c>
      <c r="E94" s="19" t="str">
        <f>IFERROR(INDEX(Data!$A$2:$E$101,Data!$L90,COLUMNS(Data!$I$1:L189)),"")</f>
        <v/>
      </c>
      <c r="F94" s="18" t="str">
        <f>IFERROR(INDEX(Data!$A$2:$E$101,Data!$L90,COLUMNS(Data!$I$1:M189)),"")</f>
        <v/>
      </c>
    </row>
    <row r="95" spans="2:6" x14ac:dyDescent="0.3">
      <c r="B95" s="18" t="str">
        <f>IFERROR(INDEX(Data!$A$2:$E$101,Data!$L91,COLUMNS(Data!$I$1:I190)),"")</f>
        <v/>
      </c>
      <c r="C95" s="18" t="str">
        <f>IFERROR(INDEX(Data!$A$2:$E$101,Data!$L91,COLUMNS(Data!$I$1:J190)),"")</f>
        <v/>
      </c>
      <c r="D95" s="18" t="str">
        <f>IFERROR(INDEX(Data!$A$2:$E$101,Data!$L91,COLUMNS(Data!$I$1:K190)),"")</f>
        <v/>
      </c>
      <c r="E95" s="19" t="str">
        <f>IFERROR(INDEX(Data!$A$2:$E$101,Data!$L91,COLUMNS(Data!$I$1:L190)),"")</f>
        <v/>
      </c>
      <c r="F95" s="18" t="str">
        <f>IFERROR(INDEX(Data!$A$2:$E$101,Data!$L91,COLUMNS(Data!$I$1:M190)),"")</f>
        <v/>
      </c>
    </row>
    <row r="96" spans="2:6" x14ac:dyDescent="0.3">
      <c r="B96" s="18" t="str">
        <f>IFERROR(INDEX(Data!$A$2:$E$101,Data!$L92,COLUMNS(Data!$I$1:I191)),"")</f>
        <v/>
      </c>
      <c r="C96" s="18" t="str">
        <f>IFERROR(INDEX(Data!$A$2:$E$101,Data!$L92,COLUMNS(Data!$I$1:J191)),"")</f>
        <v/>
      </c>
      <c r="D96" s="18" t="str">
        <f>IFERROR(INDEX(Data!$A$2:$E$101,Data!$L92,COLUMNS(Data!$I$1:K191)),"")</f>
        <v/>
      </c>
      <c r="E96" s="19" t="str">
        <f>IFERROR(INDEX(Data!$A$2:$E$101,Data!$L92,COLUMNS(Data!$I$1:L191)),"")</f>
        <v/>
      </c>
      <c r="F96" s="18" t="str">
        <f>IFERROR(INDEX(Data!$A$2:$E$101,Data!$L92,COLUMNS(Data!$I$1:M191)),"")</f>
        <v/>
      </c>
    </row>
    <row r="97" spans="2:6" x14ac:dyDescent="0.3">
      <c r="B97" s="18" t="str">
        <f>IFERROR(INDEX(Data!$A$2:$E$101,Data!$L93,COLUMNS(Data!$I$1:I192)),"")</f>
        <v/>
      </c>
      <c r="C97" s="18" t="str">
        <f>IFERROR(INDEX(Data!$A$2:$E$101,Data!$L93,COLUMNS(Data!$I$1:J192)),"")</f>
        <v/>
      </c>
      <c r="D97" s="18" t="str">
        <f>IFERROR(INDEX(Data!$A$2:$E$101,Data!$L93,COLUMNS(Data!$I$1:K192)),"")</f>
        <v/>
      </c>
      <c r="E97" s="19" t="str">
        <f>IFERROR(INDEX(Data!$A$2:$E$101,Data!$L93,COLUMNS(Data!$I$1:L192)),"")</f>
        <v/>
      </c>
      <c r="F97" s="18" t="str">
        <f>IFERROR(INDEX(Data!$A$2:$E$101,Data!$L93,COLUMNS(Data!$I$1:M192)),"")</f>
        <v/>
      </c>
    </row>
    <row r="98" spans="2:6" x14ac:dyDescent="0.3">
      <c r="B98" s="18" t="str">
        <f>IFERROR(INDEX(Data!$A$2:$E$101,Data!$L94,COLUMNS(Data!$I$1:I193)),"")</f>
        <v/>
      </c>
      <c r="C98" s="18" t="str">
        <f>IFERROR(INDEX(Data!$A$2:$E$101,Data!$L94,COLUMNS(Data!$I$1:J193)),"")</f>
        <v/>
      </c>
      <c r="D98" s="18" t="str">
        <f>IFERROR(INDEX(Data!$A$2:$E$101,Data!$L94,COLUMNS(Data!$I$1:K193)),"")</f>
        <v/>
      </c>
      <c r="E98" s="19" t="str">
        <f>IFERROR(INDEX(Data!$A$2:$E$101,Data!$L94,COLUMNS(Data!$I$1:L193)),"")</f>
        <v/>
      </c>
      <c r="F98" s="18" t="str">
        <f>IFERROR(INDEX(Data!$A$2:$E$101,Data!$L94,COLUMNS(Data!$I$1:M193)),"")</f>
        <v/>
      </c>
    </row>
    <row r="99" spans="2:6" x14ac:dyDescent="0.3">
      <c r="B99" s="18" t="str">
        <f>IFERROR(INDEX(Data!$A$2:$E$101,Data!$L95,COLUMNS(Data!$I$1:I194)),"")</f>
        <v/>
      </c>
      <c r="C99" s="18" t="str">
        <f>IFERROR(INDEX(Data!$A$2:$E$101,Data!$L95,COLUMNS(Data!$I$1:J194)),"")</f>
        <v/>
      </c>
      <c r="D99" s="18" t="str">
        <f>IFERROR(INDEX(Data!$A$2:$E$101,Data!$L95,COLUMNS(Data!$I$1:K194)),"")</f>
        <v/>
      </c>
      <c r="E99" s="19" t="str">
        <f>IFERROR(INDEX(Data!$A$2:$E$101,Data!$L95,COLUMNS(Data!$I$1:L194)),"")</f>
        <v/>
      </c>
      <c r="F99" s="18" t="str">
        <f>IFERROR(INDEX(Data!$A$2:$E$101,Data!$L95,COLUMNS(Data!$I$1:M194)),"")</f>
        <v/>
      </c>
    </row>
    <row r="100" spans="2:6" x14ac:dyDescent="0.3">
      <c r="B100" s="18" t="str">
        <f>IFERROR(INDEX(Data!$A$2:$E$101,Data!$L96,COLUMNS(Data!$I$1:I195)),"")</f>
        <v/>
      </c>
      <c r="C100" s="18" t="str">
        <f>IFERROR(INDEX(Data!$A$2:$E$101,Data!$L96,COLUMNS(Data!$I$1:J195)),"")</f>
        <v/>
      </c>
      <c r="D100" s="18" t="str">
        <f>IFERROR(INDEX(Data!$A$2:$E$101,Data!$L96,COLUMNS(Data!$I$1:K195)),"")</f>
        <v/>
      </c>
      <c r="E100" s="19" t="str">
        <f>IFERROR(INDEX(Data!$A$2:$E$101,Data!$L96,COLUMNS(Data!$I$1:L195)),"")</f>
        <v/>
      </c>
      <c r="F100" s="18" t="str">
        <f>IFERROR(INDEX(Data!$A$2:$E$101,Data!$L96,COLUMNS(Data!$I$1:M195)),"")</f>
        <v/>
      </c>
    </row>
    <row r="101" spans="2:6" x14ac:dyDescent="0.3">
      <c r="B101" s="18" t="str">
        <f>IFERROR(INDEX(Data!$A$2:$E$101,Data!$L97,COLUMNS(Data!$I$1:I196)),"")</f>
        <v/>
      </c>
      <c r="C101" s="18" t="str">
        <f>IFERROR(INDEX(Data!$A$2:$E$101,Data!$L97,COLUMNS(Data!$I$1:J196)),"")</f>
        <v/>
      </c>
      <c r="D101" s="18" t="str">
        <f>IFERROR(INDEX(Data!$A$2:$E$101,Data!$L97,COLUMNS(Data!$I$1:K196)),"")</f>
        <v/>
      </c>
      <c r="E101" s="19" t="str">
        <f>IFERROR(INDEX(Data!$A$2:$E$101,Data!$L97,COLUMNS(Data!$I$1:L196)),"")</f>
        <v/>
      </c>
      <c r="F101" s="18" t="str">
        <f>IFERROR(INDEX(Data!$A$2:$E$101,Data!$L97,COLUMNS(Data!$I$1:M196)),"")</f>
        <v/>
      </c>
    </row>
    <row r="102" spans="2:6" x14ac:dyDescent="0.3">
      <c r="B102" s="18" t="str">
        <f>IFERROR(INDEX(Data!$A$2:$E$101,Data!$L98,COLUMNS(Data!$I$1:I197)),"")</f>
        <v/>
      </c>
      <c r="C102" s="18" t="str">
        <f>IFERROR(INDEX(Data!$A$2:$E$101,Data!$L98,COLUMNS(Data!$I$1:J197)),"")</f>
        <v/>
      </c>
      <c r="D102" s="18" t="str">
        <f>IFERROR(INDEX(Data!$A$2:$E$101,Data!$L98,COLUMNS(Data!$I$1:K197)),"")</f>
        <v/>
      </c>
      <c r="E102" s="19" t="str">
        <f>IFERROR(INDEX(Data!$A$2:$E$101,Data!$L98,COLUMNS(Data!$I$1:L197)),"")</f>
        <v/>
      </c>
      <c r="F102" s="18" t="str">
        <f>IFERROR(INDEX(Data!$A$2:$E$101,Data!$L98,COLUMNS(Data!$I$1:M197)),"")</f>
        <v/>
      </c>
    </row>
    <row r="103" spans="2:6" x14ac:dyDescent="0.3">
      <c r="B103" s="18" t="str">
        <f>IFERROR(INDEX(Data!$A$2:$E$101,Data!$L99,COLUMNS(Data!$I$1:I198)),"")</f>
        <v/>
      </c>
      <c r="C103" s="18" t="str">
        <f>IFERROR(INDEX(Data!$A$2:$E$101,Data!$L99,COLUMNS(Data!$I$1:J198)),"")</f>
        <v/>
      </c>
      <c r="D103" s="18" t="str">
        <f>IFERROR(INDEX(Data!$A$2:$E$101,Data!$L99,COLUMNS(Data!$I$1:K198)),"")</f>
        <v/>
      </c>
      <c r="E103" s="19" t="str">
        <f>IFERROR(INDEX(Data!$A$2:$E$101,Data!$L99,COLUMNS(Data!$I$1:L198)),"")</f>
        <v/>
      </c>
      <c r="F103" s="18" t="str">
        <f>IFERROR(INDEX(Data!$A$2:$E$101,Data!$L99,COLUMNS(Data!$I$1:M198)),"")</f>
        <v/>
      </c>
    </row>
    <row r="104" spans="2:6" x14ac:dyDescent="0.3">
      <c r="B104" s="18" t="str">
        <f>IFERROR(INDEX(Data!$A$2:$E$101,Data!$L100,COLUMNS(Data!$I$1:I199)),"")</f>
        <v/>
      </c>
      <c r="C104" s="18" t="str">
        <f>IFERROR(INDEX(Data!$A$2:$E$101,Data!$L100,COLUMNS(Data!$I$1:J199)),"")</f>
        <v/>
      </c>
      <c r="D104" s="18" t="str">
        <f>IFERROR(INDEX(Data!$A$2:$E$101,Data!$L100,COLUMNS(Data!$I$1:K199)),"")</f>
        <v/>
      </c>
      <c r="E104" s="19" t="str">
        <f>IFERROR(INDEX(Data!$A$2:$E$101,Data!$L100,COLUMNS(Data!$I$1:L199)),"")</f>
        <v/>
      </c>
      <c r="F104" s="18" t="str">
        <f>IFERROR(INDEX(Data!$A$2:$E$101,Data!$L100,COLUMNS(Data!$I$1:M199)),"")</f>
        <v/>
      </c>
    </row>
    <row r="105" spans="2:6" x14ac:dyDescent="0.3">
      <c r="B105" s="18" t="str">
        <f>IFERROR(INDEX(Data!$A$2:$E$101,Data!$L101,COLUMNS(Data!$I$1:I200)),"")</f>
        <v/>
      </c>
      <c r="C105" s="18" t="str">
        <f>IFERROR(INDEX(Data!$A$2:$E$101,Data!$L101,COLUMNS(Data!$I$1:J200)),"")</f>
        <v/>
      </c>
      <c r="D105" s="18" t="str">
        <f>IFERROR(INDEX(Data!$A$2:$E$101,Data!$L101,COLUMNS(Data!$I$1:K200)),"")</f>
        <v/>
      </c>
      <c r="E105" s="19" t="str">
        <f>IFERROR(INDEX(Data!$A$2:$E$101,Data!$L101,COLUMNS(Data!$I$1:L200)),"")</f>
        <v/>
      </c>
      <c r="F105" s="18" t="str">
        <f>IFERROR(INDEX(Data!$A$2:$E$101,Data!$L101,COLUMNS(Data!$I$1:M200)),"")</f>
        <v/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3" name="Drop Down 1">
              <controlPr defaultSize="0" autoLine="0" autoPict="0">
                <anchor moveWithCells="1">
                  <from>
                    <xdr:col>1</xdr:col>
                    <xdr:colOff>15240</xdr:colOff>
                    <xdr:row>1</xdr:row>
                    <xdr:rowOff>114300</xdr:rowOff>
                  </from>
                  <to>
                    <xdr:col>2</xdr:col>
                    <xdr:colOff>7620</xdr:colOff>
                    <xdr:row>2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4" name="Drop Down 2">
              <controlPr defaultSize="0" autoLine="0" autoPict="0">
                <anchor moveWithCells="1">
                  <from>
                    <xdr:col>2</xdr:col>
                    <xdr:colOff>152400</xdr:colOff>
                    <xdr:row>1</xdr:row>
                    <xdr:rowOff>106680</xdr:rowOff>
                  </from>
                  <to>
                    <xdr:col>4</xdr:col>
                    <xdr:colOff>0</xdr:colOff>
                    <xdr:row>2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5" name="Drop Down 3">
              <controlPr defaultSize="0" autoLine="0" autoPict="0">
                <anchor moveWithCells="1">
                  <from>
                    <xdr:col>4</xdr:col>
                    <xdr:colOff>144780</xdr:colOff>
                    <xdr:row>1</xdr:row>
                    <xdr:rowOff>106680</xdr:rowOff>
                  </from>
                  <to>
                    <xdr:col>5</xdr:col>
                    <xdr:colOff>746760</xdr:colOff>
                    <xdr:row>2</xdr:row>
                    <xdr:rowOff>121920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5"/>
  <sheetViews>
    <sheetView workbookViewId="0">
      <selection activeCell="C2" sqref="C2"/>
    </sheetView>
  </sheetViews>
  <sheetFormatPr defaultRowHeight="14.4" x14ac:dyDescent="0.3"/>
  <cols>
    <col min="1" max="1" width="6.5546875" customWidth="1"/>
    <col min="2" max="2" width="24.44140625" bestFit="1" customWidth="1"/>
    <col min="3" max="3" width="84.6640625" customWidth="1"/>
    <col min="4" max="4" width="14.109375" bestFit="1" customWidth="1"/>
    <col min="5" max="5" width="36" bestFit="1" customWidth="1"/>
    <col min="6" max="6" width="23.5546875" bestFit="1" customWidth="1"/>
    <col min="7" max="7" width="36.88671875" bestFit="1" customWidth="1"/>
    <col min="8" max="8" width="50.6640625" customWidth="1"/>
    <col min="9" max="9" width="171.109375" bestFit="1" customWidth="1"/>
  </cols>
  <sheetData>
    <row r="1" spans="2:9" x14ac:dyDescent="0.3">
      <c r="B1" s="5" t="s">
        <v>2</v>
      </c>
      <c r="C1" s="4" t="s">
        <v>1</v>
      </c>
      <c r="D1" s="8" t="s">
        <v>102</v>
      </c>
      <c r="E1" s="5" t="s">
        <v>4</v>
      </c>
      <c r="F1" s="4" t="s">
        <v>6</v>
      </c>
      <c r="G1" s="4" t="s">
        <v>103</v>
      </c>
      <c r="H1" s="7" t="s">
        <v>104</v>
      </c>
      <c r="I1" s="7" t="s">
        <v>105</v>
      </c>
    </row>
    <row r="2" spans="2:9" x14ac:dyDescent="0.3">
      <c r="B2" s="10" t="s">
        <v>126</v>
      </c>
      <c r="C2" s="3" t="s">
        <v>127</v>
      </c>
      <c r="D2" s="11" t="s">
        <v>128</v>
      </c>
      <c r="E2" s="10" t="s">
        <v>136</v>
      </c>
      <c r="F2" s="10" t="s">
        <v>129</v>
      </c>
      <c r="G2" s="10" t="s">
        <v>130</v>
      </c>
      <c r="H2" s="10" t="s">
        <v>131</v>
      </c>
      <c r="I2" s="12" t="s">
        <v>132</v>
      </c>
    </row>
    <row r="3" spans="2:9" x14ac:dyDescent="0.3">
      <c r="B3" s="6" t="s">
        <v>8</v>
      </c>
      <c r="C3" s="3" t="s">
        <v>133</v>
      </c>
      <c r="D3" s="9">
        <v>2015</v>
      </c>
      <c r="E3" s="6" t="s">
        <v>10</v>
      </c>
      <c r="F3" s="3" t="s">
        <v>34</v>
      </c>
      <c r="G3" s="6" t="s">
        <v>62</v>
      </c>
      <c r="H3" s="6" t="s">
        <v>20</v>
      </c>
      <c r="I3" s="3" t="s">
        <v>74</v>
      </c>
    </row>
    <row r="4" spans="2:9" x14ac:dyDescent="0.3">
      <c r="B4" s="6" t="s">
        <v>14</v>
      </c>
      <c r="C4" s="3" t="s">
        <v>68</v>
      </c>
      <c r="D4" s="9">
        <v>2014</v>
      </c>
      <c r="E4" s="6" t="s">
        <v>18</v>
      </c>
      <c r="F4" s="3" t="s">
        <v>62</v>
      </c>
      <c r="G4" s="6" t="s">
        <v>49</v>
      </c>
      <c r="H4" s="6" t="s">
        <v>29</v>
      </c>
      <c r="I4" s="3" t="s">
        <v>75</v>
      </c>
    </row>
    <row r="5" spans="2:9" x14ac:dyDescent="0.3">
      <c r="B5" s="6" t="s">
        <v>24</v>
      </c>
      <c r="C5" s="3" t="s">
        <v>21</v>
      </c>
      <c r="D5" s="9">
        <v>2013</v>
      </c>
      <c r="E5" s="6" t="s">
        <v>26</v>
      </c>
      <c r="F5" s="3" t="s">
        <v>106</v>
      </c>
      <c r="G5" s="6" t="s">
        <v>124</v>
      </c>
      <c r="H5" s="6" t="s">
        <v>43</v>
      </c>
      <c r="I5" s="3" t="s">
        <v>76</v>
      </c>
    </row>
    <row r="6" spans="2:9" x14ac:dyDescent="0.3">
      <c r="B6" s="6" t="s">
        <v>28</v>
      </c>
      <c r="C6" s="3" t="s">
        <v>37</v>
      </c>
      <c r="D6" s="9">
        <v>2012</v>
      </c>
      <c r="E6" s="6"/>
      <c r="F6" s="3" t="s">
        <v>110</v>
      </c>
      <c r="G6" s="6" t="s">
        <v>51</v>
      </c>
      <c r="H6" s="6" t="s">
        <v>46</v>
      </c>
      <c r="I6" s="3" t="s">
        <v>77</v>
      </c>
    </row>
    <row r="7" spans="2:9" x14ac:dyDescent="0.3">
      <c r="B7" s="6" t="s">
        <v>32</v>
      </c>
      <c r="C7" s="3" t="s">
        <v>35</v>
      </c>
      <c r="F7" s="3" t="s">
        <v>50</v>
      </c>
      <c r="G7" s="6" t="s">
        <v>113</v>
      </c>
      <c r="H7" s="6" t="s">
        <v>47</v>
      </c>
      <c r="I7" s="3" t="s">
        <v>78</v>
      </c>
    </row>
    <row r="8" spans="2:9" x14ac:dyDescent="0.3">
      <c r="B8" s="6" t="s">
        <v>45</v>
      </c>
      <c r="C8" s="3" t="s">
        <v>17</v>
      </c>
      <c r="F8" s="3" t="s">
        <v>107</v>
      </c>
      <c r="G8" s="6" t="s">
        <v>19</v>
      </c>
      <c r="H8" s="6" t="s">
        <v>55</v>
      </c>
      <c r="I8" s="3" t="s">
        <v>79</v>
      </c>
    </row>
    <row r="9" spans="2:9" x14ac:dyDescent="0.3">
      <c r="B9" s="6" t="s">
        <v>56</v>
      </c>
      <c r="C9" s="3" t="s">
        <v>134</v>
      </c>
      <c r="F9" s="3" t="s">
        <v>111</v>
      </c>
      <c r="G9" s="6" t="s">
        <v>54</v>
      </c>
      <c r="H9" s="6" t="s">
        <v>59</v>
      </c>
      <c r="I9" s="3" t="s">
        <v>80</v>
      </c>
    </row>
    <row r="10" spans="2:9" x14ac:dyDescent="0.3">
      <c r="C10" s="3" t="s">
        <v>13</v>
      </c>
      <c r="F10" s="3" t="s">
        <v>112</v>
      </c>
      <c r="G10" s="6" t="s">
        <v>23</v>
      </c>
      <c r="H10" s="6" t="s">
        <v>60</v>
      </c>
      <c r="I10" s="3" t="s">
        <v>81</v>
      </c>
    </row>
    <row r="11" spans="2:9" x14ac:dyDescent="0.3">
      <c r="C11" s="3" t="s">
        <v>30</v>
      </c>
      <c r="F11" s="3" t="s">
        <v>25</v>
      </c>
      <c r="G11" s="6" t="s">
        <v>16</v>
      </c>
      <c r="H11" s="6" t="s">
        <v>63</v>
      </c>
      <c r="I11" s="3" t="s">
        <v>82</v>
      </c>
    </row>
    <row r="12" spans="2:9" x14ac:dyDescent="0.3">
      <c r="C12" s="3" t="s">
        <v>44</v>
      </c>
      <c r="F12" s="3" t="s">
        <v>109</v>
      </c>
      <c r="G12" s="6" t="s">
        <v>71</v>
      </c>
      <c r="H12" s="6" t="s">
        <v>66</v>
      </c>
      <c r="I12" s="3" t="s">
        <v>83</v>
      </c>
    </row>
    <row r="13" spans="2:9" x14ac:dyDescent="0.3">
      <c r="C13" s="3" t="s">
        <v>39</v>
      </c>
      <c r="F13" s="3" t="s">
        <v>108</v>
      </c>
      <c r="G13" s="6" t="s">
        <v>65</v>
      </c>
      <c r="H13" s="6" t="s">
        <v>67</v>
      </c>
      <c r="I13" s="3" t="s">
        <v>84</v>
      </c>
    </row>
    <row r="14" spans="2:9" x14ac:dyDescent="0.3">
      <c r="C14" s="3" t="s">
        <v>135</v>
      </c>
      <c r="F14" s="3" t="s">
        <v>113</v>
      </c>
      <c r="G14" s="6" t="s">
        <v>12</v>
      </c>
      <c r="H14" s="6" t="s">
        <v>69</v>
      </c>
      <c r="I14" s="3" t="s">
        <v>85</v>
      </c>
    </row>
    <row r="15" spans="2:9" x14ac:dyDescent="0.3">
      <c r="C15" s="3" t="s">
        <v>42</v>
      </c>
      <c r="F15" s="3" t="s">
        <v>19</v>
      </c>
      <c r="G15" s="6" t="s">
        <v>36</v>
      </c>
      <c r="H15" s="6" t="s">
        <v>11</v>
      </c>
      <c r="I15" s="3" t="s">
        <v>86</v>
      </c>
    </row>
    <row r="16" spans="2:9" x14ac:dyDescent="0.3">
      <c r="C16" s="3" t="s">
        <v>27</v>
      </c>
      <c r="F16" s="3" t="s">
        <v>114</v>
      </c>
      <c r="G16" s="6" t="s">
        <v>125</v>
      </c>
      <c r="H16" s="6" t="s">
        <v>70</v>
      </c>
      <c r="I16" s="3" t="s">
        <v>87</v>
      </c>
    </row>
    <row r="17" spans="3:9" x14ac:dyDescent="0.3">
      <c r="C17" s="3" t="s">
        <v>58</v>
      </c>
      <c r="F17" s="3" t="s">
        <v>23</v>
      </c>
      <c r="H17" s="6" t="s">
        <v>72</v>
      </c>
      <c r="I17" s="3" t="s">
        <v>88</v>
      </c>
    </row>
    <row r="18" spans="3:9" x14ac:dyDescent="0.3">
      <c r="C18" s="3" t="s">
        <v>57</v>
      </c>
      <c r="F18" s="3" t="s">
        <v>115</v>
      </c>
      <c r="H18" s="6" t="s">
        <v>73</v>
      </c>
      <c r="I18" s="3" t="s">
        <v>89</v>
      </c>
    </row>
    <row r="19" spans="3:9" x14ac:dyDescent="0.3">
      <c r="C19" s="3" t="s">
        <v>33</v>
      </c>
      <c r="F19" s="3" t="s">
        <v>71</v>
      </c>
      <c r="I19" s="3" t="s">
        <v>90</v>
      </c>
    </row>
    <row r="20" spans="3:9" x14ac:dyDescent="0.3">
      <c r="C20" s="3" t="s">
        <v>64</v>
      </c>
      <c r="F20" s="3" t="s">
        <v>65</v>
      </c>
      <c r="I20" s="3" t="s">
        <v>91</v>
      </c>
    </row>
    <row r="21" spans="3:9" x14ac:dyDescent="0.3">
      <c r="C21" s="3" t="s">
        <v>31</v>
      </c>
      <c r="F21" s="3" t="s">
        <v>61</v>
      </c>
      <c r="I21" s="3" t="s">
        <v>92</v>
      </c>
    </row>
    <row r="22" spans="3:9" x14ac:dyDescent="0.3">
      <c r="C22" s="3" t="s">
        <v>7</v>
      </c>
      <c r="F22" s="3" t="s">
        <v>116</v>
      </c>
      <c r="I22" s="3" t="s">
        <v>93</v>
      </c>
    </row>
    <row r="23" spans="3:9" x14ac:dyDescent="0.3">
      <c r="C23" s="3" t="s">
        <v>52</v>
      </c>
      <c r="F23" s="3" t="s">
        <v>117</v>
      </c>
      <c r="I23" s="3" t="s">
        <v>94</v>
      </c>
    </row>
    <row r="24" spans="3:9" x14ac:dyDescent="0.3">
      <c r="C24" s="3" t="s">
        <v>40</v>
      </c>
      <c r="F24" s="3" t="s">
        <v>118</v>
      </c>
      <c r="I24" s="3" t="s">
        <v>95</v>
      </c>
    </row>
    <row r="25" spans="3:9" x14ac:dyDescent="0.3">
      <c r="C25" s="3" t="s">
        <v>41</v>
      </c>
      <c r="F25" s="3" t="s">
        <v>119</v>
      </c>
      <c r="I25" s="3" t="s">
        <v>96</v>
      </c>
    </row>
    <row r="26" spans="3:9" x14ac:dyDescent="0.3">
      <c r="C26" s="3" t="s">
        <v>53</v>
      </c>
      <c r="F26" s="3" t="s">
        <v>120</v>
      </c>
      <c r="I26" s="3" t="s">
        <v>97</v>
      </c>
    </row>
    <row r="27" spans="3:9" x14ac:dyDescent="0.3">
      <c r="F27" s="3" t="s">
        <v>121</v>
      </c>
      <c r="I27" s="3" t="s">
        <v>98</v>
      </c>
    </row>
    <row r="28" spans="3:9" x14ac:dyDescent="0.3">
      <c r="F28" s="3" t="s">
        <v>122</v>
      </c>
      <c r="I28" s="3" t="s">
        <v>99</v>
      </c>
    </row>
    <row r="29" spans="3:9" x14ac:dyDescent="0.3">
      <c r="F29" s="3" t="s">
        <v>36</v>
      </c>
      <c r="I29" s="3" t="s">
        <v>100</v>
      </c>
    </row>
    <row r="30" spans="3:9" x14ac:dyDescent="0.3">
      <c r="F30" s="3" t="s">
        <v>123</v>
      </c>
      <c r="I30" s="3" t="s">
        <v>101</v>
      </c>
    </row>
    <row r="31" spans="3:9" x14ac:dyDescent="0.3">
      <c r="F31" s="3"/>
    </row>
    <row r="32" spans="3:9" x14ac:dyDescent="0.3">
      <c r="F32" s="3"/>
    </row>
    <row r="33" spans="6:6" x14ac:dyDescent="0.3">
      <c r="F33" s="3"/>
    </row>
    <row r="34" spans="6:6" x14ac:dyDescent="0.3">
      <c r="F34" s="3"/>
    </row>
    <row r="35" spans="6:6" x14ac:dyDescent="0.3">
      <c r="F35" s="3"/>
    </row>
    <row r="36" spans="6:6" x14ac:dyDescent="0.3">
      <c r="F36" s="3"/>
    </row>
    <row r="37" spans="6:6" x14ac:dyDescent="0.3">
      <c r="F37" s="3"/>
    </row>
    <row r="38" spans="6:6" x14ac:dyDescent="0.3">
      <c r="F38" s="3"/>
    </row>
    <row r="39" spans="6:6" x14ac:dyDescent="0.3">
      <c r="F39" s="3"/>
    </row>
    <row r="40" spans="6:6" x14ac:dyDescent="0.3">
      <c r="F40" s="3"/>
    </row>
    <row r="41" spans="6:6" x14ac:dyDescent="0.3">
      <c r="F41" s="3"/>
    </row>
    <row r="42" spans="6:6" x14ac:dyDescent="0.3">
      <c r="F42" s="3"/>
    </row>
    <row r="43" spans="6:6" x14ac:dyDescent="0.3">
      <c r="F43" s="3"/>
    </row>
    <row r="44" spans="6:6" x14ac:dyDescent="0.3">
      <c r="F44" s="3"/>
    </row>
    <row r="45" spans="6:6" x14ac:dyDescent="0.3">
      <c r="F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Links</vt:lpstr>
      <vt:lpstr>Dashboard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Sethuraman B</dc:creator>
  <cp:lastModifiedBy>Sethuraman B</cp:lastModifiedBy>
  <dcterms:created xsi:type="dcterms:W3CDTF">2014-12-09T16:40:12Z</dcterms:created>
  <dcterms:modified xsi:type="dcterms:W3CDTF">2026-03-27T06:57:47Z</dcterms:modified>
</cp:coreProperties>
</file>